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Founder Outco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<sst xmlns="http://schemas.openxmlformats.org/spreadsheetml/2006/main" count="74" uniqueCount="74">
  <si>
    <t xml:space="preserve">Pedalshield — Model Assumptions (blue = change me)</t>
  </si>
  <si>
    <t xml:space="preserve">ZEC price ($)</t>
  </si>
  <si>
    <t xml:space="preserve">Source: CoinGecko via Cointelegraph, 6/8/2026 — VOLATILE</t>
  </si>
  <si>
    <t xml:space="preserve">Avg km per ride</t>
  </si>
  <si>
    <t xml:space="preserve">Rides per rider per month</t>
  </si>
  <si>
    <t xml:space="preserve">Starting riders (month 1, from waitlist)</t>
  </si>
  <si>
    <t xml:space="preserve">Rider growth %/mo — Phase 1 (m1-6)</t>
  </si>
  <si>
    <t xml:space="preserve">Rider growth %/mo — Phase 2 (m7-18)</t>
  </si>
  <si>
    <t xml:space="preserve">Rider growth %/mo — Phase 3 (m19-36)</t>
  </si>
  <si>
    <t xml:space="preserve">Emission tier 1 ZEC/km</t>
  </si>
  <si>
    <t xml:space="preserve">Current PEDALSHIELD_ZAT_PER_KM=20000</t>
  </si>
  <si>
    <t xml:space="preserve">Tier 1 applies below riders</t>
  </si>
  <si>
    <t xml:space="preserve">Emission tier 2 ZEC/km</t>
  </si>
  <si>
    <t xml:space="preserve">SCALE_PLAN taper</t>
  </si>
  <si>
    <t xml:space="preserve">Tier 2 applies below riders</t>
  </si>
  <si>
    <t xml:space="preserve">Emission tier 3 ZEC/km</t>
  </si>
  <si>
    <t xml:space="preserve">Premium conversion</t>
  </si>
  <si>
    <t xml:space="preserve">Premium price $/mo</t>
  </si>
  <si>
    <t xml:space="preserve">Affiliate margin $/rider/mo</t>
  </si>
  <si>
    <t xml:space="preserve">Sponsor pools start month</t>
  </si>
  <si>
    <t xml:space="preserve">Sponsor base $/mo</t>
  </si>
  <si>
    <t xml:space="preserve">Sponsor growth %/mo</t>
  </si>
  <si>
    <t xml:space="preserve">Corporate wellness start month</t>
  </si>
  <si>
    <t xml:space="preserve">Wellness base $/mo</t>
  </si>
  <si>
    <t xml:space="preserve">Wellness growth %/mo</t>
  </si>
  <si>
    <t xml:space="preserve">FTEs Phase 1</t>
  </si>
  <si>
    <t xml:space="preserve">FTEs Phase 2</t>
  </si>
  <si>
    <t xml:space="preserve">FTEs Phase 3</t>
  </si>
  <si>
    <t xml:space="preserve">Loaded cost $/FTE/yr</t>
  </si>
  <si>
    <t xml:space="preserve">Infra base $/mo</t>
  </si>
  <si>
    <t xml:space="preserve">Infra $/rider/mo</t>
  </si>
  <si>
    <t xml:space="preserve">CAC $/new rider</t>
  </si>
  <si>
    <t xml:space="preserve">Privacy-community organic heavy</t>
  </si>
  <si>
    <t xml:space="preserve">Other/compliance base $/mo</t>
  </si>
  <si>
    <t xml:space="preserve">Other % of revenue</t>
  </si>
  <si>
    <t xml:space="preserve">Seed raised ($)</t>
  </si>
  <si>
    <t xml:space="preserve">Founder ownership at exit</t>
  </si>
  <si>
    <t xml:space="preserve">Post seed + Series A + option pool</t>
  </si>
  <si>
    <t xml:space="preserve">Pedalshield — 36-Month Operating Model ($)</t>
  </si>
  <si>
    <t xml:space="preserve">Month</t>
  </si>
  <si>
    <t xml:space="preserve">Phase</t>
  </si>
  <si>
    <t xml:space="preserve">Rider growth %</t>
  </si>
  <si>
    <t xml:space="preserve">Active riders</t>
  </si>
  <si>
    <t xml:space="preserve">New riders</t>
  </si>
  <si>
    <t xml:space="preserve">Rides /mo</t>
  </si>
  <si>
    <t xml:space="preserve">Verified km /mo</t>
  </si>
  <si>
    <t xml:space="preserve">Emission (ZEC/km)</t>
  </si>
  <si>
    <t xml:space="preserve">Reward burn (ZEC)</t>
  </si>
  <si>
    <t xml:space="preserve">Reward burn ($)</t>
  </si>
  <si>
    <t xml:space="preserve">Premium subscriptions</t>
  </si>
  <si>
    <t xml:space="preserve">Affiliate/gear margin</t>
  </si>
  <si>
    <t xml:space="preserve">Sponsor pools</t>
  </si>
  <si>
    <t xml:space="preserve">Corporate wellness</t>
  </si>
  <si>
    <t xml:space="preserve">Total revenue</t>
  </si>
  <si>
    <t xml:space="preserve">Team</t>
  </si>
  <si>
    <t xml:space="preserve">Infra</t>
  </si>
  <si>
    <t xml:space="preserve">Marketing (CAC)</t>
  </si>
  <si>
    <t xml:space="preserve">Other/compliance</t>
  </si>
  <si>
    <t xml:space="preserve">Total opex</t>
  </si>
  <si>
    <t xml:space="preserve">EBITDA (rev − rewards − opex)</t>
  </si>
  <si>
    <t xml:space="preserve">Cumulative cash (incl. seed)</t>
  </si>
  <si>
    <t xml:space="preserve">Reward coverage (rev ÷ rewards)</t>
  </si>
  <si>
    <t xml:space="preserve">Founder Outcome — what has to be true</t>
  </si>
  <si>
    <t xml:space="preserve">Month-36 revenue run-rate (ARR, $)</t>
  </si>
  <si>
    <t xml:space="preserve">Month-36 riders</t>
  </si>
  <si>
    <t xml:space="preserve">Month-36 rides/mo</t>
  </si>
  <si>
    <t xml:space="preserve">Cash position at month 36 ($)</t>
  </si>
  <si>
    <t xml:space="preserve">Founder ownership</t>
  </si>
  <si>
    <t xml:space="preserve">Founder proceeds ($) = ARR × multiple × ownership</t>
  </si>
  <si>
    <t xml:space="preserve">Revenue multiple</t>
  </si>
  <si>
    <t xml:space="preserve">Base ARR (1x)</t>
  </si>
  <si>
    <t xml:space="preserve">Bull (2x ARR)</t>
  </si>
  <si>
    <t xml:space="preserve">Moon (4x ARR)</t>
  </si>
  <si>
    <t xml:space="preserve">Read: "rich" requires the Bull/Moon columns — i.e. premium conversion &gt;5%, retention holding, and sponsor/wellness revenue compounding. The Assumptions tab is where those bets live. Not financial advice; ZEC volatility alone can move every $ figure 50% in a week (it just did).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</si>
</sst>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"/>
    <numFmt numFmtId="167" formatCode="0.0%"/>
    <numFmt numFmtId="168" formatCode="0.00000"/>
    <numFmt numFmtId="169" formatCode="\$#,##0.00"/>
    <numFmt numFmtId="170" formatCode="#,##0.0"/>
    <numFmt numFmtId="171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426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9</v>
      </c>
    </row>
    <row r="5" customFormat="false" ht="15" hidden="false" customHeight="false" outlineLevel="0" collapsed="false">
      <c r="A5" s="2" t="s">
        <v>4</v>
      </c>
      <c r="B5" s="5" t="n">
        <v>10</v>
      </c>
    </row>
    <row r="6" customFormat="false" ht="15" hidden="false" customHeight="false" outlineLevel="0" collapsed="false">
      <c r="A6" s="2" t="s">
        <v>5</v>
      </c>
      <c r="B6" s="5" t="n">
        <v>1000</v>
      </c>
    </row>
    <row r="7" customFormat="false" ht="15" hidden="false" customHeight="false" outlineLevel="0" collapsed="false">
      <c r="A7" s="2" t="s">
        <v>6</v>
      </c>
      <c r="B7" s="6" t="n">
        <v>0.2</v>
      </c>
    </row>
    <row r="8" customFormat="false" ht="15" hidden="false" customHeight="false" outlineLevel="0" collapsed="false">
      <c r="A8" s="2" t="s">
        <v>7</v>
      </c>
      <c r="B8" s="6" t="n">
        <v>0.15</v>
      </c>
    </row>
    <row r="9" customFormat="false" ht="15" hidden="false" customHeight="false" outlineLevel="0" collapsed="false">
      <c r="A9" s="2" t="s">
        <v>8</v>
      </c>
      <c r="B9" s="6" t="n">
        <v>0.1</v>
      </c>
    </row>
    <row r="11" customFormat="false" ht="15" hidden="false" customHeight="false" outlineLevel="0" collapsed="false">
      <c r="A11" s="2" t="s">
        <v>9</v>
      </c>
      <c r="B11" s="7" t="n">
        <v>0.0002</v>
      </c>
      <c r="C11" s="4" t="s">
        <v>10</v>
      </c>
    </row>
    <row r="12" customFormat="false" ht="15" hidden="false" customHeight="false" outlineLevel="0" collapsed="false">
      <c r="A12" s="2" t="s">
        <v>11</v>
      </c>
      <c r="B12" s="5" t="n">
        <v>5000</v>
      </c>
    </row>
    <row r="13" customFormat="false" ht="15" hidden="false" customHeight="false" outlineLevel="0" collapsed="false">
      <c r="A13" s="2" t="s">
        <v>12</v>
      </c>
      <c r="B13" s="7" t="n">
        <v>5E-005</v>
      </c>
      <c r="C13" s="4" t="s">
        <v>13</v>
      </c>
    </row>
    <row r="14" customFormat="false" ht="15" hidden="false" customHeight="false" outlineLevel="0" collapsed="false">
      <c r="A14" s="2" t="s">
        <v>14</v>
      </c>
      <c r="B14" s="5" t="n">
        <v>50000</v>
      </c>
    </row>
    <row r="15" customFormat="false" ht="15" hidden="false" customHeight="false" outlineLevel="0" collapsed="false">
      <c r="A15" s="2" t="s">
        <v>15</v>
      </c>
      <c r="B15" s="7" t="n">
        <v>2E-005</v>
      </c>
    </row>
    <row r="17" customFormat="false" ht="15" hidden="false" customHeight="false" outlineLevel="0" collapsed="false">
      <c r="A17" s="2" t="s">
        <v>16</v>
      </c>
      <c r="B17" s="6" t="n">
        <v>0.05</v>
      </c>
    </row>
    <row r="18" customFormat="false" ht="15" hidden="false" customHeight="false" outlineLevel="0" collapsed="false">
      <c r="A18" s="2" t="s">
        <v>17</v>
      </c>
      <c r="B18" s="8" t="n">
        <v>5.99</v>
      </c>
    </row>
    <row r="19" customFormat="false" ht="15" hidden="false" customHeight="false" outlineLevel="0" collapsed="false">
      <c r="A19" s="2" t="s">
        <v>18</v>
      </c>
      <c r="B19" s="8" t="n">
        <v>0.1</v>
      </c>
    </row>
    <row r="20" customFormat="false" ht="15" hidden="false" customHeight="false" outlineLevel="0" collapsed="false">
      <c r="A20" s="2" t="s">
        <v>19</v>
      </c>
      <c r="B20" s="5" t="n">
        <v>10</v>
      </c>
    </row>
    <row r="21" customFormat="false" ht="15" hidden="false" customHeight="false" outlineLevel="0" collapsed="false">
      <c r="A21" s="2" t="s">
        <v>20</v>
      </c>
      <c r="B21" s="3" t="n">
        <v>5000</v>
      </c>
    </row>
    <row r="22" customFormat="false" ht="15" hidden="false" customHeight="false" outlineLevel="0" collapsed="false">
      <c r="A22" s="2" t="s">
        <v>21</v>
      </c>
      <c r="B22" s="6" t="n">
        <v>0.1</v>
      </c>
    </row>
    <row r="23" customFormat="false" ht="15" hidden="false" customHeight="false" outlineLevel="0" collapsed="false">
      <c r="A23" s="2" t="s">
        <v>22</v>
      </c>
      <c r="B23" s="5" t="n">
        <v>20</v>
      </c>
    </row>
    <row r="24" customFormat="false" ht="15" hidden="false" customHeight="false" outlineLevel="0" collapsed="false">
      <c r="A24" s="2" t="s">
        <v>23</v>
      </c>
      <c r="B24" s="3" t="n">
        <v>8000</v>
      </c>
    </row>
    <row r="25" customFormat="false" ht="15" hidden="false" customHeight="false" outlineLevel="0" collapsed="false">
      <c r="A25" s="2" t="s">
        <v>24</v>
      </c>
      <c r="B25" s="6" t="n">
        <v>0.12</v>
      </c>
    </row>
    <row r="27" customFormat="false" ht="15" hidden="false" customHeight="false" outlineLevel="0" collapsed="false">
      <c r="A27" s="2" t="s">
        <v>25</v>
      </c>
      <c r="B27" s="5" t="n">
        <v>3</v>
      </c>
    </row>
    <row r="28" customFormat="false" ht="15" hidden="false" customHeight="false" outlineLevel="0" collapsed="false">
      <c r="A28" s="2" t="s">
        <v>26</v>
      </c>
      <c r="B28" s="5" t="n">
        <v>5</v>
      </c>
    </row>
    <row r="29" customFormat="false" ht="15" hidden="false" customHeight="false" outlineLevel="0" collapsed="false">
      <c r="A29" s="2" t="s">
        <v>27</v>
      </c>
      <c r="B29" s="5" t="n">
        <v>9</v>
      </c>
    </row>
    <row r="30" customFormat="false" ht="15" hidden="false" customHeight="false" outlineLevel="0" collapsed="false">
      <c r="A30" s="2" t="s">
        <v>28</v>
      </c>
      <c r="B30" s="3" t="n">
        <v>180000</v>
      </c>
    </row>
    <row r="31" customFormat="false" ht="15" hidden="false" customHeight="false" outlineLevel="0" collapsed="false">
      <c r="A31" s="2" t="s">
        <v>29</v>
      </c>
      <c r="B31" s="3" t="n">
        <v>500</v>
      </c>
    </row>
    <row r="32" customFormat="false" ht="15" hidden="false" customHeight="false" outlineLevel="0" collapsed="false">
      <c r="A32" s="2" t="s">
        <v>30</v>
      </c>
      <c r="B32" s="8" t="n">
        <v>0.05</v>
      </c>
    </row>
    <row r="33" customFormat="false" ht="15" hidden="false" customHeight="false" outlineLevel="0" collapsed="false">
      <c r="A33" s="2" t="s">
        <v>31</v>
      </c>
      <c r="B33" s="3" t="n">
        <v>4</v>
      </c>
      <c r="C33" s="4" t="s">
        <v>32</v>
      </c>
    </row>
    <row r="34" customFormat="false" ht="15" hidden="false" customHeight="false" outlineLevel="0" collapsed="false">
      <c r="A34" s="2" t="s">
        <v>33</v>
      </c>
      <c r="B34" s="3" t="n">
        <v>2000</v>
      </c>
    </row>
    <row r="35" customFormat="false" ht="15" hidden="false" customHeight="false" outlineLevel="0" collapsed="false">
      <c r="A35" s="2" t="s">
        <v>34</v>
      </c>
      <c r="B35" s="6" t="n">
        <v>0.05</v>
      </c>
    </row>
    <row r="37" customFormat="false" ht="15" hidden="false" customHeight="false" outlineLevel="0" collapsed="false">
      <c r="A37" s="2" t="s">
        <v>35</v>
      </c>
      <c r="B37" s="3" t="n">
        <v>2000000</v>
      </c>
    </row>
    <row r="39" customFormat="false" ht="15" hidden="false" customHeight="false" outlineLevel="0" collapsed="false">
      <c r="A39" s="2" t="s">
        <v>36</v>
      </c>
      <c r="B39" s="6" t="n">
        <v>0.55</v>
      </c>
      <c r="C39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7" min="2" style="0" width="11"/>
  </cols>
  <sheetData>
    <row r="1" customFormat="false" ht="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  <c r="B2" s="9" t="n">
        <v>1</v>
      </c>
      <c r="C2" s="9" t="n">
        <v>2</v>
      </c>
      <c r="D2" s="9" t="n">
        <v>3</v>
      </c>
      <c r="E2" s="9" t="n">
        <v>4</v>
      </c>
      <c r="F2" s="9" t="n">
        <v>5</v>
      </c>
      <c r="G2" s="9" t="n">
        <v>6</v>
      </c>
      <c r="H2" s="9" t="n">
        <v>7</v>
      </c>
      <c r="I2" s="9" t="n">
        <v>8</v>
      </c>
      <c r="J2" s="9" t="n">
        <v>9</v>
      </c>
      <c r="K2" s="9" t="n">
        <v>10</v>
      </c>
      <c r="L2" s="9" t="n">
        <v>11</v>
      </c>
      <c r="M2" s="9" t="n">
        <v>12</v>
      </c>
      <c r="N2" s="9" t="n">
        <v>13</v>
      </c>
      <c r="O2" s="9" t="n">
        <v>14</v>
      </c>
      <c r="P2" s="9" t="n">
        <v>15</v>
      </c>
      <c r="Q2" s="9" t="n">
        <v>16</v>
      </c>
      <c r="R2" s="9" t="n">
        <v>17</v>
      </c>
      <c r="S2" s="9" t="n">
        <v>18</v>
      </c>
      <c r="T2" s="9" t="n">
        <v>19</v>
      </c>
      <c r="U2" s="9" t="n">
        <v>20</v>
      </c>
      <c r="V2" s="9" t="n">
        <v>21</v>
      </c>
      <c r="W2" s="9" t="n">
        <v>22</v>
      </c>
      <c r="X2" s="9" t="n">
        <v>23</v>
      </c>
      <c r="Y2" s="9" t="n">
        <v>24</v>
      </c>
      <c r="Z2" s="9" t="n">
        <v>25</v>
      </c>
      <c r="AA2" s="9" t="n">
        <v>26</v>
      </c>
      <c r="AB2" s="9" t="n">
        <v>27</v>
      </c>
      <c r="AC2" s="9" t="n">
        <v>28</v>
      </c>
      <c r="AD2" s="9" t="n">
        <v>29</v>
      </c>
      <c r="AE2" s="9" t="n">
        <v>30</v>
      </c>
      <c r="AF2" s="9" t="n">
        <v>31</v>
      </c>
      <c r="AG2" s="9" t="n">
        <v>32</v>
      </c>
      <c r="AH2" s="9" t="n">
        <v>33</v>
      </c>
      <c r="AI2" s="9" t="n">
        <v>34</v>
      </c>
      <c r="AJ2" s="9" t="n">
        <v>35</v>
      </c>
      <c r="AK2" s="9" t="n">
        <v>36</v>
      </c>
    </row>
    <row r="3" customFormat="false" ht="15" hidden="false" customHeight="false" outlineLevel="0" collapsed="false">
      <c r="A3" s="2" t="s">
        <v>40</v>
      </c>
      <c r="B3" s="10" t="n">
        <f aca="false">IF(B2&lt;=6,1,IF(B2&lt;=18,2,3))</f>
        <v>1</v>
      </c>
      <c r="C3" s="10" t="n">
        <f aca="false">IF(C2&lt;=6,1,IF(C2&lt;=18,2,3))</f>
        <v>1</v>
      </c>
      <c r="D3" s="10" t="n">
        <f aca="false">IF(D2&lt;=6,1,IF(D2&lt;=18,2,3))</f>
        <v>1</v>
      </c>
      <c r="E3" s="10" t="n">
        <f aca="false">IF(E2&lt;=6,1,IF(E2&lt;=18,2,3))</f>
        <v>1</v>
      </c>
      <c r="F3" s="10" t="n">
        <f aca="false">IF(F2&lt;=6,1,IF(F2&lt;=18,2,3))</f>
        <v>1</v>
      </c>
      <c r="G3" s="10" t="n">
        <f aca="false">IF(G2&lt;=6,1,IF(G2&lt;=18,2,3))</f>
        <v>1</v>
      </c>
      <c r="H3" s="10" t="n">
        <f aca="false">IF(H2&lt;=6,1,IF(H2&lt;=18,2,3))</f>
        <v>2</v>
      </c>
      <c r="I3" s="10" t="n">
        <f aca="false">IF(I2&lt;=6,1,IF(I2&lt;=18,2,3))</f>
        <v>2</v>
      </c>
      <c r="J3" s="10" t="n">
        <f aca="false">IF(J2&lt;=6,1,IF(J2&lt;=18,2,3))</f>
        <v>2</v>
      </c>
      <c r="K3" s="10" t="n">
        <f aca="false">IF(K2&lt;=6,1,IF(K2&lt;=18,2,3))</f>
        <v>2</v>
      </c>
      <c r="L3" s="10" t="n">
        <f aca="false">IF(L2&lt;=6,1,IF(L2&lt;=18,2,3))</f>
        <v>2</v>
      </c>
      <c r="M3" s="10" t="n">
        <f aca="false">IF(M2&lt;=6,1,IF(M2&lt;=18,2,3))</f>
        <v>2</v>
      </c>
      <c r="N3" s="10" t="n">
        <f aca="false">IF(N2&lt;=6,1,IF(N2&lt;=18,2,3))</f>
        <v>2</v>
      </c>
      <c r="O3" s="10" t="n">
        <f aca="false">IF(O2&lt;=6,1,IF(O2&lt;=18,2,3))</f>
        <v>2</v>
      </c>
      <c r="P3" s="10" t="n">
        <f aca="false">IF(P2&lt;=6,1,IF(P2&lt;=18,2,3))</f>
        <v>2</v>
      </c>
      <c r="Q3" s="10" t="n">
        <f aca="false">IF(Q2&lt;=6,1,IF(Q2&lt;=18,2,3))</f>
        <v>2</v>
      </c>
      <c r="R3" s="10" t="n">
        <f aca="false">IF(R2&lt;=6,1,IF(R2&lt;=18,2,3))</f>
        <v>2</v>
      </c>
      <c r="S3" s="10" t="n">
        <f aca="false">IF(S2&lt;=6,1,IF(S2&lt;=18,2,3))</f>
        <v>2</v>
      </c>
      <c r="T3" s="10" t="n">
        <f aca="false">IF(T2&lt;=6,1,IF(T2&lt;=18,2,3))</f>
        <v>3</v>
      </c>
      <c r="U3" s="10" t="n">
        <f aca="false">IF(U2&lt;=6,1,IF(U2&lt;=18,2,3))</f>
        <v>3</v>
      </c>
      <c r="V3" s="10" t="n">
        <f aca="false">IF(V2&lt;=6,1,IF(V2&lt;=18,2,3))</f>
        <v>3</v>
      </c>
      <c r="W3" s="10" t="n">
        <f aca="false">IF(W2&lt;=6,1,IF(W2&lt;=18,2,3))</f>
        <v>3</v>
      </c>
      <c r="X3" s="10" t="n">
        <f aca="false">IF(X2&lt;=6,1,IF(X2&lt;=18,2,3))</f>
        <v>3</v>
      </c>
      <c r="Y3" s="10" t="n">
        <f aca="false">IF(Y2&lt;=6,1,IF(Y2&lt;=18,2,3))</f>
        <v>3</v>
      </c>
      <c r="Z3" s="10" t="n">
        <f aca="false">IF(Z2&lt;=6,1,IF(Z2&lt;=18,2,3))</f>
        <v>3</v>
      </c>
      <c r="AA3" s="10" t="n">
        <f aca="false">IF(AA2&lt;=6,1,IF(AA2&lt;=18,2,3))</f>
        <v>3</v>
      </c>
      <c r="AB3" s="10" t="n">
        <f aca="false">IF(AB2&lt;=6,1,IF(AB2&lt;=18,2,3))</f>
        <v>3</v>
      </c>
      <c r="AC3" s="10" t="n">
        <f aca="false">IF(AC2&lt;=6,1,IF(AC2&lt;=18,2,3))</f>
        <v>3</v>
      </c>
      <c r="AD3" s="10" t="n">
        <f aca="false">IF(AD2&lt;=6,1,IF(AD2&lt;=18,2,3))</f>
        <v>3</v>
      </c>
      <c r="AE3" s="10" t="n">
        <f aca="false">IF(AE2&lt;=6,1,IF(AE2&lt;=18,2,3))</f>
        <v>3</v>
      </c>
      <c r="AF3" s="10" t="n">
        <f aca="false">IF(AF2&lt;=6,1,IF(AF2&lt;=18,2,3))</f>
        <v>3</v>
      </c>
      <c r="AG3" s="10" t="n">
        <f aca="false">IF(AG2&lt;=6,1,IF(AG2&lt;=18,2,3))</f>
        <v>3</v>
      </c>
      <c r="AH3" s="10" t="n">
        <f aca="false">IF(AH2&lt;=6,1,IF(AH2&lt;=18,2,3))</f>
        <v>3</v>
      </c>
      <c r="AI3" s="10" t="n">
        <f aca="false">IF(AI2&lt;=6,1,IF(AI2&lt;=18,2,3))</f>
        <v>3</v>
      </c>
      <c r="AJ3" s="10" t="n">
        <f aca="false">IF(AJ2&lt;=6,1,IF(AJ2&lt;=18,2,3))</f>
        <v>3</v>
      </c>
      <c r="AK3" s="10" t="n">
        <f aca="false">IF(AK2&lt;=6,1,IF(AK2&lt;=18,2,3))</f>
        <v>3</v>
      </c>
    </row>
    <row r="4" customFormat="false" ht="15" hidden="false" customHeight="false" outlineLevel="0" collapsed="false">
      <c r="A4" s="2" t="s">
        <v>41</v>
      </c>
      <c r="B4" s="11" t="n">
        <f aca="false">CHOOSE(B3,Assumptions!$B$7,Assumptions!$B$8,Assumptions!$B$9)</f>
        <v>0.2</v>
      </c>
      <c r="C4" s="11" t="n">
        <f aca="false">CHOOSE(C3,Assumptions!$B$7,Assumptions!$B$8,Assumptions!$B$9)</f>
        <v>0.2</v>
      </c>
      <c r="D4" s="11" t="n">
        <f aca="false">CHOOSE(D3,Assumptions!$B$7,Assumptions!$B$8,Assumptions!$B$9)</f>
        <v>0.2</v>
      </c>
      <c r="E4" s="11" t="n">
        <f aca="false">CHOOSE(E3,Assumptions!$B$7,Assumptions!$B$8,Assumptions!$B$9)</f>
        <v>0.2</v>
      </c>
      <c r="F4" s="11" t="n">
        <f aca="false">CHOOSE(F3,Assumptions!$B$7,Assumptions!$B$8,Assumptions!$B$9)</f>
        <v>0.2</v>
      </c>
      <c r="G4" s="11" t="n">
        <f aca="false">CHOOSE(G3,Assumptions!$B$7,Assumptions!$B$8,Assumptions!$B$9)</f>
        <v>0.2</v>
      </c>
      <c r="H4" s="11" t="n">
        <f aca="false">CHOOSE(H3,Assumptions!$B$7,Assumptions!$B$8,Assumptions!$B$9)</f>
        <v>0.15</v>
      </c>
      <c r="I4" s="11" t="n">
        <f aca="false">CHOOSE(I3,Assumptions!$B$7,Assumptions!$B$8,Assumptions!$B$9)</f>
        <v>0.15</v>
      </c>
      <c r="J4" s="11" t="n">
        <f aca="false">CHOOSE(J3,Assumptions!$B$7,Assumptions!$B$8,Assumptions!$B$9)</f>
        <v>0.15</v>
      </c>
      <c r="K4" s="11" t="n">
        <f aca="false">CHOOSE(K3,Assumptions!$B$7,Assumptions!$B$8,Assumptions!$B$9)</f>
        <v>0.15</v>
      </c>
      <c r="L4" s="11" t="n">
        <f aca="false">CHOOSE(L3,Assumptions!$B$7,Assumptions!$B$8,Assumptions!$B$9)</f>
        <v>0.15</v>
      </c>
      <c r="M4" s="11" t="n">
        <f aca="false">CHOOSE(M3,Assumptions!$B$7,Assumptions!$B$8,Assumptions!$B$9)</f>
        <v>0.15</v>
      </c>
      <c r="N4" s="11" t="n">
        <f aca="false">CHOOSE(N3,Assumptions!$B$7,Assumptions!$B$8,Assumptions!$B$9)</f>
        <v>0.15</v>
      </c>
      <c r="O4" s="11" t="n">
        <f aca="false">CHOOSE(O3,Assumptions!$B$7,Assumptions!$B$8,Assumptions!$B$9)</f>
        <v>0.15</v>
      </c>
      <c r="P4" s="11" t="n">
        <f aca="false">CHOOSE(P3,Assumptions!$B$7,Assumptions!$B$8,Assumptions!$B$9)</f>
        <v>0.15</v>
      </c>
      <c r="Q4" s="11" t="n">
        <f aca="false">CHOOSE(Q3,Assumptions!$B$7,Assumptions!$B$8,Assumptions!$B$9)</f>
        <v>0.15</v>
      </c>
      <c r="R4" s="11" t="n">
        <f aca="false">CHOOSE(R3,Assumptions!$B$7,Assumptions!$B$8,Assumptions!$B$9)</f>
        <v>0.15</v>
      </c>
      <c r="S4" s="11" t="n">
        <f aca="false">CHOOSE(S3,Assumptions!$B$7,Assumptions!$B$8,Assumptions!$B$9)</f>
        <v>0.15</v>
      </c>
      <c r="T4" s="11" t="n">
        <f aca="false">CHOOSE(T3,Assumptions!$B$7,Assumptions!$B$8,Assumptions!$B$9)</f>
        <v>0.1</v>
      </c>
      <c r="U4" s="11" t="n">
        <f aca="false">CHOOSE(U3,Assumptions!$B$7,Assumptions!$B$8,Assumptions!$B$9)</f>
        <v>0.1</v>
      </c>
      <c r="V4" s="11" t="n">
        <f aca="false">CHOOSE(V3,Assumptions!$B$7,Assumptions!$B$8,Assumptions!$B$9)</f>
        <v>0.1</v>
      </c>
      <c r="W4" s="11" t="n">
        <f aca="false">CHOOSE(W3,Assumptions!$B$7,Assumptions!$B$8,Assumptions!$B$9)</f>
        <v>0.1</v>
      </c>
      <c r="X4" s="11" t="n">
        <f aca="false">CHOOSE(X3,Assumptions!$B$7,Assumptions!$B$8,Assumptions!$B$9)</f>
        <v>0.1</v>
      </c>
      <c r="Y4" s="11" t="n">
        <f aca="false">CHOOSE(Y3,Assumptions!$B$7,Assumptions!$B$8,Assumptions!$B$9)</f>
        <v>0.1</v>
      </c>
      <c r="Z4" s="11" t="n">
        <f aca="false">CHOOSE(Z3,Assumptions!$B$7,Assumptions!$B$8,Assumptions!$B$9)</f>
        <v>0.1</v>
      </c>
      <c r="AA4" s="11" t="n">
        <f aca="false">CHOOSE(AA3,Assumptions!$B$7,Assumptions!$B$8,Assumptions!$B$9)</f>
        <v>0.1</v>
      </c>
      <c r="AB4" s="11" t="n">
        <f aca="false">CHOOSE(AB3,Assumptions!$B$7,Assumptions!$B$8,Assumptions!$B$9)</f>
        <v>0.1</v>
      </c>
      <c r="AC4" s="11" t="n">
        <f aca="false">CHOOSE(AC3,Assumptions!$B$7,Assumptions!$B$8,Assumptions!$B$9)</f>
        <v>0.1</v>
      </c>
      <c r="AD4" s="11" t="n">
        <f aca="false">CHOOSE(AD3,Assumptions!$B$7,Assumptions!$B$8,Assumptions!$B$9)</f>
        <v>0.1</v>
      </c>
      <c r="AE4" s="11" t="n">
        <f aca="false">CHOOSE(AE3,Assumptions!$B$7,Assumptions!$B$8,Assumptions!$B$9)</f>
        <v>0.1</v>
      </c>
      <c r="AF4" s="11" t="n">
        <f aca="false">CHOOSE(AF3,Assumptions!$B$7,Assumptions!$B$8,Assumptions!$B$9)</f>
        <v>0.1</v>
      </c>
      <c r="AG4" s="11" t="n">
        <f aca="false">CHOOSE(AG3,Assumptions!$B$7,Assumptions!$B$8,Assumptions!$B$9)</f>
        <v>0.1</v>
      </c>
      <c r="AH4" s="11" t="n">
        <f aca="false">CHOOSE(AH3,Assumptions!$B$7,Assumptions!$B$8,Assumptions!$B$9)</f>
        <v>0.1</v>
      </c>
      <c r="AI4" s="11" t="n">
        <f aca="false">CHOOSE(AI3,Assumptions!$B$7,Assumptions!$B$8,Assumptions!$B$9)</f>
        <v>0.1</v>
      </c>
      <c r="AJ4" s="11" t="n">
        <f aca="false">CHOOSE(AJ3,Assumptions!$B$7,Assumptions!$B$8,Assumptions!$B$9)</f>
        <v>0.1</v>
      </c>
      <c r="AK4" s="11" t="n">
        <f aca="false">CHOOSE(AK3,Assumptions!$B$7,Assumptions!$B$8,Assumptions!$B$9)</f>
        <v>0.1</v>
      </c>
    </row>
    <row r="5" customFormat="false" ht="15" hidden="false" customHeight="false" outlineLevel="0" collapsed="false">
      <c r="A5" s="2" t="s">
        <v>42</v>
      </c>
      <c r="B5" s="12" t="n">
        <f aca="false">Assumptions!$B$6</f>
        <v>1000</v>
      </c>
      <c r="C5" s="10" t="n">
        <f aca="false">ROUND(B5*(1+C4),0)</f>
        <v>1200</v>
      </c>
      <c r="D5" s="10" t="n">
        <f aca="false">ROUND(C5*(1+D4),0)</f>
        <v>1440</v>
      </c>
      <c r="E5" s="10" t="n">
        <f aca="false">ROUND(D5*(1+E4),0)</f>
        <v>1728</v>
      </c>
      <c r="F5" s="10" t="n">
        <f aca="false">ROUND(E5*(1+F4),0)</f>
        <v>2074</v>
      </c>
      <c r="G5" s="10" t="n">
        <f aca="false">ROUND(F5*(1+G4),0)</f>
        <v>2489</v>
      </c>
      <c r="H5" s="10" t="n">
        <f aca="false">ROUND(G5*(1+H4),0)</f>
        <v>2862</v>
      </c>
      <c r="I5" s="10" t="n">
        <f aca="false">ROUND(H5*(1+I4),0)</f>
        <v>3291</v>
      </c>
      <c r="J5" s="10" t="n">
        <f aca="false">ROUND(I5*(1+J4),0)</f>
        <v>3785</v>
      </c>
      <c r="K5" s="10" t="n">
        <f aca="false">ROUND(J5*(1+K4),0)</f>
        <v>4353</v>
      </c>
      <c r="L5" s="10" t="n">
        <f aca="false">ROUND(K5*(1+L4),0)</f>
        <v>5006</v>
      </c>
      <c r="M5" s="10" t="n">
        <f aca="false">ROUND(L5*(1+M4),0)</f>
        <v>5757</v>
      </c>
      <c r="N5" s="10" t="n">
        <f aca="false">ROUND(M5*(1+N4),0)</f>
        <v>6621</v>
      </c>
      <c r="O5" s="10" t="n">
        <f aca="false">ROUND(N5*(1+O4),0)</f>
        <v>7614</v>
      </c>
      <c r="P5" s="10" t="n">
        <f aca="false">ROUND(O5*(1+P4),0)</f>
        <v>8756</v>
      </c>
      <c r="Q5" s="10" t="n">
        <f aca="false">ROUND(P5*(1+Q4),0)</f>
        <v>10069</v>
      </c>
      <c r="R5" s="10" t="n">
        <f aca="false">ROUND(Q5*(1+R4),0)</f>
        <v>11579</v>
      </c>
      <c r="S5" s="10" t="n">
        <f aca="false">ROUND(R5*(1+S4),0)</f>
        <v>13316</v>
      </c>
      <c r="T5" s="10" t="n">
        <f aca="false">ROUND(S5*(1+T4),0)</f>
        <v>14648</v>
      </c>
      <c r="U5" s="10" t="n">
        <f aca="false">ROUND(T5*(1+U4),0)</f>
        <v>16113</v>
      </c>
      <c r="V5" s="10" t="n">
        <f aca="false">ROUND(U5*(1+V4),0)</f>
        <v>17724</v>
      </c>
      <c r="W5" s="10" t="n">
        <f aca="false">ROUND(V5*(1+W4),0)</f>
        <v>19496</v>
      </c>
      <c r="X5" s="10" t="n">
        <f aca="false">ROUND(W5*(1+X4),0)</f>
        <v>21446</v>
      </c>
      <c r="Y5" s="10" t="n">
        <f aca="false">ROUND(X5*(1+Y4),0)</f>
        <v>23591</v>
      </c>
      <c r="Z5" s="10" t="n">
        <f aca="false">ROUND(Y5*(1+Z4),0)</f>
        <v>25950</v>
      </c>
      <c r="AA5" s="10" t="n">
        <f aca="false">ROUND(Z5*(1+AA4),0)</f>
        <v>28545</v>
      </c>
      <c r="AB5" s="10" t="n">
        <f aca="false">ROUND(AA5*(1+AB4),0)</f>
        <v>31400</v>
      </c>
      <c r="AC5" s="10" t="n">
        <f aca="false">ROUND(AB5*(1+AC4),0)</f>
        <v>34540</v>
      </c>
      <c r="AD5" s="10" t="n">
        <f aca="false">ROUND(AC5*(1+AD4),0)</f>
        <v>37994</v>
      </c>
      <c r="AE5" s="10" t="n">
        <f aca="false">ROUND(AD5*(1+AE4),0)</f>
        <v>41793</v>
      </c>
      <c r="AF5" s="10" t="n">
        <f aca="false">ROUND(AE5*(1+AF4),0)</f>
        <v>45972</v>
      </c>
      <c r="AG5" s="10" t="n">
        <f aca="false">ROUND(AF5*(1+AG4),0)</f>
        <v>50569</v>
      </c>
      <c r="AH5" s="10" t="n">
        <f aca="false">ROUND(AG5*(1+AH4),0)</f>
        <v>55626</v>
      </c>
      <c r="AI5" s="10" t="n">
        <f aca="false">ROUND(AH5*(1+AI4),0)</f>
        <v>61189</v>
      </c>
      <c r="AJ5" s="10" t="n">
        <f aca="false">ROUND(AI5*(1+AJ4),0)</f>
        <v>67308</v>
      </c>
      <c r="AK5" s="10" t="n">
        <f aca="false">ROUND(AJ5*(1+AK4),0)</f>
        <v>74039</v>
      </c>
    </row>
    <row r="6" customFormat="false" ht="15" hidden="false" customHeight="false" outlineLevel="0" collapsed="false">
      <c r="A6" s="2" t="s">
        <v>43</v>
      </c>
      <c r="B6" s="10" t="n">
        <f aca="false">B5</f>
        <v>1000</v>
      </c>
      <c r="C6" s="10" t="n">
        <f aca="false">C5-B5</f>
        <v>200</v>
      </c>
      <c r="D6" s="10" t="n">
        <f aca="false">D5-C5</f>
        <v>240</v>
      </c>
      <c r="E6" s="10" t="n">
        <f aca="false">E5-D5</f>
        <v>288</v>
      </c>
      <c r="F6" s="10" t="n">
        <f aca="false">F5-E5</f>
        <v>346</v>
      </c>
      <c r="G6" s="10" t="n">
        <f aca="false">G5-F5</f>
        <v>415</v>
      </c>
      <c r="H6" s="10" t="n">
        <f aca="false">H5-G5</f>
        <v>373</v>
      </c>
      <c r="I6" s="10" t="n">
        <f aca="false">I5-H5</f>
        <v>429</v>
      </c>
      <c r="J6" s="10" t="n">
        <f aca="false">J5-I5</f>
        <v>494</v>
      </c>
      <c r="K6" s="10" t="n">
        <f aca="false">K5-J5</f>
        <v>568</v>
      </c>
      <c r="L6" s="10" t="n">
        <f aca="false">L5-K5</f>
        <v>653</v>
      </c>
      <c r="M6" s="10" t="n">
        <f aca="false">M5-L5</f>
        <v>751</v>
      </c>
      <c r="N6" s="10" t="n">
        <f aca="false">N5-M5</f>
        <v>864</v>
      </c>
      <c r="O6" s="10" t="n">
        <f aca="false">O5-N5</f>
        <v>993</v>
      </c>
      <c r="P6" s="10" t="n">
        <f aca="false">P5-O5</f>
        <v>1142</v>
      </c>
      <c r="Q6" s="10" t="n">
        <f aca="false">Q5-P5</f>
        <v>1313</v>
      </c>
      <c r="R6" s="10" t="n">
        <f aca="false">R5-Q5</f>
        <v>1510</v>
      </c>
      <c r="S6" s="10" t="n">
        <f aca="false">S5-R5</f>
        <v>1737</v>
      </c>
      <c r="T6" s="10" t="n">
        <f aca="false">T5-S5</f>
        <v>1332</v>
      </c>
      <c r="U6" s="10" t="n">
        <f aca="false">U5-T5</f>
        <v>1465</v>
      </c>
      <c r="V6" s="10" t="n">
        <f aca="false">V5-U5</f>
        <v>1611</v>
      </c>
      <c r="W6" s="10" t="n">
        <f aca="false">W5-V5</f>
        <v>1772</v>
      </c>
      <c r="X6" s="10" t="n">
        <f aca="false">X5-W5</f>
        <v>1950</v>
      </c>
      <c r="Y6" s="10" t="n">
        <f aca="false">Y5-X5</f>
        <v>2145</v>
      </c>
      <c r="Z6" s="10" t="n">
        <f aca="false">Z5-Y5</f>
        <v>2359</v>
      </c>
      <c r="AA6" s="10" t="n">
        <f aca="false">AA5-Z5</f>
        <v>2595</v>
      </c>
      <c r="AB6" s="10" t="n">
        <f aca="false">AB5-AA5</f>
        <v>2855</v>
      </c>
      <c r="AC6" s="10" t="n">
        <f aca="false">AC5-AB5</f>
        <v>3140</v>
      </c>
      <c r="AD6" s="10" t="n">
        <f aca="false">AD5-AC5</f>
        <v>3454</v>
      </c>
      <c r="AE6" s="10" t="n">
        <f aca="false">AE5-AD5</f>
        <v>3799</v>
      </c>
      <c r="AF6" s="10" t="n">
        <f aca="false">AF5-AE5</f>
        <v>4179</v>
      </c>
      <c r="AG6" s="10" t="n">
        <f aca="false">AG5-AF5</f>
        <v>4597</v>
      </c>
      <c r="AH6" s="10" t="n">
        <f aca="false">AH5-AG5</f>
        <v>5057</v>
      </c>
      <c r="AI6" s="10" t="n">
        <f aca="false">AI5-AH5</f>
        <v>5563</v>
      </c>
      <c r="AJ6" s="10" t="n">
        <f aca="false">AJ5-AI5</f>
        <v>6119</v>
      </c>
      <c r="AK6" s="10" t="n">
        <f aca="false">AK5-AJ5</f>
        <v>6731</v>
      </c>
    </row>
    <row r="7" customFormat="false" ht="15" hidden="false" customHeight="false" outlineLevel="0" collapsed="false">
      <c r="A7" s="2" t="s">
        <v>44</v>
      </c>
      <c r="B7" s="10" t="n">
        <f aca="false">B5*Assumptions!$B$5</f>
        <v>10000</v>
      </c>
      <c r="C7" s="10" t="n">
        <f aca="false">C5*Assumptions!$B$5</f>
        <v>12000</v>
      </c>
      <c r="D7" s="10" t="n">
        <f aca="false">D5*Assumptions!$B$5</f>
        <v>14400</v>
      </c>
      <c r="E7" s="10" t="n">
        <f aca="false">E5*Assumptions!$B$5</f>
        <v>17280</v>
      </c>
      <c r="F7" s="10" t="n">
        <f aca="false">F5*Assumptions!$B$5</f>
        <v>20740</v>
      </c>
      <c r="G7" s="10" t="n">
        <f aca="false">G5*Assumptions!$B$5</f>
        <v>24890</v>
      </c>
      <c r="H7" s="10" t="n">
        <f aca="false">H5*Assumptions!$B$5</f>
        <v>28620</v>
      </c>
      <c r="I7" s="10" t="n">
        <f aca="false">I5*Assumptions!$B$5</f>
        <v>32910</v>
      </c>
      <c r="J7" s="10" t="n">
        <f aca="false">J5*Assumptions!$B$5</f>
        <v>37850</v>
      </c>
      <c r="K7" s="10" t="n">
        <f aca="false">K5*Assumptions!$B$5</f>
        <v>43530</v>
      </c>
      <c r="L7" s="10" t="n">
        <f aca="false">L5*Assumptions!$B$5</f>
        <v>50060</v>
      </c>
      <c r="M7" s="10" t="n">
        <f aca="false">M5*Assumptions!$B$5</f>
        <v>57570</v>
      </c>
      <c r="N7" s="10" t="n">
        <f aca="false">N5*Assumptions!$B$5</f>
        <v>66210</v>
      </c>
      <c r="O7" s="10" t="n">
        <f aca="false">O5*Assumptions!$B$5</f>
        <v>76140</v>
      </c>
      <c r="P7" s="10" t="n">
        <f aca="false">P5*Assumptions!$B$5</f>
        <v>87560</v>
      </c>
      <c r="Q7" s="10" t="n">
        <f aca="false">Q5*Assumptions!$B$5</f>
        <v>100690</v>
      </c>
      <c r="R7" s="10" t="n">
        <f aca="false">R5*Assumptions!$B$5</f>
        <v>115790</v>
      </c>
      <c r="S7" s="10" t="n">
        <f aca="false">S5*Assumptions!$B$5</f>
        <v>133160</v>
      </c>
      <c r="T7" s="10" t="n">
        <f aca="false">T5*Assumptions!$B$5</f>
        <v>146480</v>
      </c>
      <c r="U7" s="10" t="n">
        <f aca="false">U5*Assumptions!$B$5</f>
        <v>161130</v>
      </c>
      <c r="V7" s="10" t="n">
        <f aca="false">V5*Assumptions!$B$5</f>
        <v>177240</v>
      </c>
      <c r="W7" s="10" t="n">
        <f aca="false">W5*Assumptions!$B$5</f>
        <v>194960</v>
      </c>
      <c r="X7" s="10" t="n">
        <f aca="false">X5*Assumptions!$B$5</f>
        <v>214460</v>
      </c>
      <c r="Y7" s="10" t="n">
        <f aca="false">Y5*Assumptions!$B$5</f>
        <v>235910</v>
      </c>
      <c r="Z7" s="10" t="n">
        <f aca="false">Z5*Assumptions!$B$5</f>
        <v>259500</v>
      </c>
      <c r="AA7" s="10" t="n">
        <f aca="false">AA5*Assumptions!$B$5</f>
        <v>285450</v>
      </c>
      <c r="AB7" s="10" t="n">
        <f aca="false">AB5*Assumptions!$B$5</f>
        <v>314000</v>
      </c>
      <c r="AC7" s="10" t="n">
        <f aca="false">AC5*Assumptions!$B$5</f>
        <v>345400</v>
      </c>
      <c r="AD7" s="10" t="n">
        <f aca="false">AD5*Assumptions!$B$5</f>
        <v>379940</v>
      </c>
      <c r="AE7" s="10" t="n">
        <f aca="false">AE5*Assumptions!$B$5</f>
        <v>417930</v>
      </c>
      <c r="AF7" s="10" t="n">
        <f aca="false">AF5*Assumptions!$B$5</f>
        <v>459720</v>
      </c>
      <c r="AG7" s="10" t="n">
        <f aca="false">AG5*Assumptions!$B$5</f>
        <v>505690</v>
      </c>
      <c r="AH7" s="10" t="n">
        <f aca="false">AH5*Assumptions!$B$5</f>
        <v>556260</v>
      </c>
      <c r="AI7" s="10" t="n">
        <f aca="false">AI5*Assumptions!$B$5</f>
        <v>611890</v>
      </c>
      <c r="AJ7" s="10" t="n">
        <f aca="false">AJ5*Assumptions!$B$5</f>
        <v>673080</v>
      </c>
      <c r="AK7" s="10" t="n">
        <f aca="false">AK5*Assumptions!$B$5</f>
        <v>740390</v>
      </c>
    </row>
    <row r="8" customFormat="false" ht="15" hidden="false" customHeight="false" outlineLevel="0" collapsed="false">
      <c r="A8" s="2" t="s">
        <v>45</v>
      </c>
      <c r="B8" s="10" t="n">
        <f aca="false">B7*Assumptions!$B$4</f>
        <v>90000</v>
      </c>
      <c r="C8" s="10" t="n">
        <f aca="false">C7*Assumptions!$B$4</f>
        <v>108000</v>
      </c>
      <c r="D8" s="10" t="n">
        <f aca="false">D7*Assumptions!$B$4</f>
        <v>129600</v>
      </c>
      <c r="E8" s="10" t="n">
        <f aca="false">E7*Assumptions!$B$4</f>
        <v>155520</v>
      </c>
      <c r="F8" s="10" t="n">
        <f aca="false">F7*Assumptions!$B$4</f>
        <v>186660</v>
      </c>
      <c r="G8" s="10" t="n">
        <f aca="false">G7*Assumptions!$B$4</f>
        <v>224010</v>
      </c>
      <c r="H8" s="10" t="n">
        <f aca="false">H7*Assumptions!$B$4</f>
        <v>257580</v>
      </c>
      <c r="I8" s="10" t="n">
        <f aca="false">I7*Assumptions!$B$4</f>
        <v>296190</v>
      </c>
      <c r="J8" s="10" t="n">
        <f aca="false">J7*Assumptions!$B$4</f>
        <v>340650</v>
      </c>
      <c r="K8" s="10" t="n">
        <f aca="false">K7*Assumptions!$B$4</f>
        <v>391770</v>
      </c>
      <c r="L8" s="10" t="n">
        <f aca="false">L7*Assumptions!$B$4</f>
        <v>450540</v>
      </c>
      <c r="M8" s="10" t="n">
        <f aca="false">M7*Assumptions!$B$4</f>
        <v>518130</v>
      </c>
      <c r="N8" s="10" t="n">
        <f aca="false">N7*Assumptions!$B$4</f>
        <v>595890</v>
      </c>
      <c r="O8" s="10" t="n">
        <f aca="false">O7*Assumptions!$B$4</f>
        <v>685260</v>
      </c>
      <c r="P8" s="10" t="n">
        <f aca="false">P7*Assumptions!$B$4</f>
        <v>788040</v>
      </c>
      <c r="Q8" s="10" t="n">
        <f aca="false">Q7*Assumptions!$B$4</f>
        <v>906210</v>
      </c>
      <c r="R8" s="10" t="n">
        <f aca="false">R7*Assumptions!$B$4</f>
        <v>1042110</v>
      </c>
      <c r="S8" s="10" t="n">
        <f aca="false">S7*Assumptions!$B$4</f>
        <v>1198440</v>
      </c>
      <c r="T8" s="10" t="n">
        <f aca="false">T7*Assumptions!$B$4</f>
        <v>1318320</v>
      </c>
      <c r="U8" s="10" t="n">
        <f aca="false">U7*Assumptions!$B$4</f>
        <v>1450170</v>
      </c>
      <c r="V8" s="10" t="n">
        <f aca="false">V7*Assumptions!$B$4</f>
        <v>1595160</v>
      </c>
      <c r="W8" s="10" t="n">
        <f aca="false">W7*Assumptions!$B$4</f>
        <v>1754640</v>
      </c>
      <c r="X8" s="10" t="n">
        <f aca="false">X7*Assumptions!$B$4</f>
        <v>1930140</v>
      </c>
      <c r="Y8" s="10" t="n">
        <f aca="false">Y7*Assumptions!$B$4</f>
        <v>2123190</v>
      </c>
      <c r="Z8" s="10" t="n">
        <f aca="false">Z7*Assumptions!$B$4</f>
        <v>2335500</v>
      </c>
      <c r="AA8" s="10" t="n">
        <f aca="false">AA7*Assumptions!$B$4</f>
        <v>2569050</v>
      </c>
      <c r="AB8" s="10" t="n">
        <f aca="false">AB7*Assumptions!$B$4</f>
        <v>2826000</v>
      </c>
      <c r="AC8" s="10" t="n">
        <f aca="false">AC7*Assumptions!$B$4</f>
        <v>3108600</v>
      </c>
      <c r="AD8" s="10" t="n">
        <f aca="false">AD7*Assumptions!$B$4</f>
        <v>3419460</v>
      </c>
      <c r="AE8" s="10" t="n">
        <f aca="false">AE7*Assumptions!$B$4</f>
        <v>3761370</v>
      </c>
      <c r="AF8" s="10" t="n">
        <f aca="false">AF7*Assumptions!$B$4</f>
        <v>4137480</v>
      </c>
      <c r="AG8" s="10" t="n">
        <f aca="false">AG7*Assumptions!$B$4</f>
        <v>4551210</v>
      </c>
      <c r="AH8" s="10" t="n">
        <f aca="false">AH7*Assumptions!$B$4</f>
        <v>5006340</v>
      </c>
      <c r="AI8" s="10" t="n">
        <f aca="false">AI7*Assumptions!$B$4</f>
        <v>5507010</v>
      </c>
      <c r="AJ8" s="10" t="n">
        <f aca="false">AJ7*Assumptions!$B$4</f>
        <v>6057720</v>
      </c>
      <c r="AK8" s="10" t="n">
        <f aca="false">AK7*Assumptions!$B$4</f>
        <v>6663510</v>
      </c>
    </row>
    <row r="9" customFormat="false" ht="15" hidden="false" customHeight="false" outlineLevel="0" collapsed="false">
      <c r="A9" s="2" t="s">
        <v>46</v>
      </c>
      <c r="B9" s="13" t="n">
        <f aca="false">IF(B5&lt;Assumptions!$B$12,Assumptions!$B$11,IF(B5&lt;Assumptions!$B$14,Assumptions!$B$13,Assumptions!$B$15))</f>
        <v>0.0002</v>
      </c>
      <c r="C9" s="13" t="n">
        <f aca="false">IF(C5&lt;Assumptions!$B$12,Assumptions!$B$11,IF(C5&lt;Assumptions!$B$14,Assumptions!$B$13,Assumptions!$B$15))</f>
        <v>0.0002</v>
      </c>
      <c r="D9" s="13" t="n">
        <f aca="false">IF(D5&lt;Assumptions!$B$12,Assumptions!$B$11,IF(D5&lt;Assumptions!$B$14,Assumptions!$B$13,Assumptions!$B$15))</f>
        <v>0.0002</v>
      </c>
      <c r="E9" s="13" t="n">
        <f aca="false">IF(E5&lt;Assumptions!$B$12,Assumptions!$B$11,IF(E5&lt;Assumptions!$B$14,Assumptions!$B$13,Assumptions!$B$15))</f>
        <v>0.0002</v>
      </c>
      <c r="F9" s="13" t="n">
        <f aca="false">IF(F5&lt;Assumptions!$B$12,Assumptions!$B$11,IF(F5&lt;Assumptions!$B$14,Assumptions!$B$13,Assumptions!$B$15))</f>
        <v>0.0002</v>
      </c>
      <c r="G9" s="13" t="n">
        <f aca="false">IF(G5&lt;Assumptions!$B$12,Assumptions!$B$11,IF(G5&lt;Assumptions!$B$14,Assumptions!$B$13,Assumptions!$B$15))</f>
        <v>0.0002</v>
      </c>
      <c r="H9" s="13" t="n">
        <f aca="false">IF(H5&lt;Assumptions!$B$12,Assumptions!$B$11,IF(H5&lt;Assumptions!$B$14,Assumptions!$B$13,Assumptions!$B$15))</f>
        <v>0.0002</v>
      </c>
      <c r="I9" s="13" t="n">
        <f aca="false">IF(I5&lt;Assumptions!$B$12,Assumptions!$B$11,IF(I5&lt;Assumptions!$B$14,Assumptions!$B$13,Assumptions!$B$15))</f>
        <v>0.0002</v>
      </c>
      <c r="J9" s="13" t="n">
        <f aca="false">IF(J5&lt;Assumptions!$B$12,Assumptions!$B$11,IF(J5&lt;Assumptions!$B$14,Assumptions!$B$13,Assumptions!$B$15))</f>
        <v>0.0002</v>
      </c>
      <c r="K9" s="13" t="n">
        <f aca="false">IF(K5&lt;Assumptions!$B$12,Assumptions!$B$11,IF(K5&lt;Assumptions!$B$14,Assumptions!$B$13,Assumptions!$B$15))</f>
        <v>0.0002</v>
      </c>
      <c r="L9" s="13" t="n">
        <f aca="false">IF(L5&lt;Assumptions!$B$12,Assumptions!$B$11,IF(L5&lt;Assumptions!$B$14,Assumptions!$B$13,Assumptions!$B$15))</f>
        <v>5E-005</v>
      </c>
      <c r="M9" s="13" t="n">
        <f aca="false">IF(M5&lt;Assumptions!$B$12,Assumptions!$B$11,IF(M5&lt;Assumptions!$B$14,Assumptions!$B$13,Assumptions!$B$15))</f>
        <v>5E-005</v>
      </c>
      <c r="N9" s="13" t="n">
        <f aca="false">IF(N5&lt;Assumptions!$B$12,Assumptions!$B$11,IF(N5&lt;Assumptions!$B$14,Assumptions!$B$13,Assumptions!$B$15))</f>
        <v>5E-005</v>
      </c>
      <c r="O9" s="13" t="n">
        <f aca="false">IF(O5&lt;Assumptions!$B$12,Assumptions!$B$11,IF(O5&lt;Assumptions!$B$14,Assumptions!$B$13,Assumptions!$B$15))</f>
        <v>5E-005</v>
      </c>
      <c r="P9" s="13" t="n">
        <f aca="false">IF(P5&lt;Assumptions!$B$12,Assumptions!$B$11,IF(P5&lt;Assumptions!$B$14,Assumptions!$B$13,Assumptions!$B$15))</f>
        <v>5E-005</v>
      </c>
      <c r="Q9" s="13" t="n">
        <f aca="false">IF(Q5&lt;Assumptions!$B$12,Assumptions!$B$11,IF(Q5&lt;Assumptions!$B$14,Assumptions!$B$13,Assumptions!$B$15))</f>
        <v>5E-005</v>
      </c>
      <c r="R9" s="13" t="n">
        <f aca="false">IF(R5&lt;Assumptions!$B$12,Assumptions!$B$11,IF(R5&lt;Assumptions!$B$14,Assumptions!$B$13,Assumptions!$B$15))</f>
        <v>5E-005</v>
      </c>
      <c r="S9" s="13" t="n">
        <f aca="false">IF(S5&lt;Assumptions!$B$12,Assumptions!$B$11,IF(S5&lt;Assumptions!$B$14,Assumptions!$B$13,Assumptions!$B$15))</f>
        <v>5E-005</v>
      </c>
      <c r="T9" s="13" t="n">
        <f aca="false">IF(T5&lt;Assumptions!$B$12,Assumptions!$B$11,IF(T5&lt;Assumptions!$B$14,Assumptions!$B$13,Assumptions!$B$15))</f>
        <v>5E-005</v>
      </c>
      <c r="U9" s="13" t="n">
        <f aca="false">IF(U5&lt;Assumptions!$B$12,Assumptions!$B$11,IF(U5&lt;Assumptions!$B$14,Assumptions!$B$13,Assumptions!$B$15))</f>
        <v>5E-005</v>
      </c>
      <c r="V9" s="13" t="n">
        <f aca="false">IF(V5&lt;Assumptions!$B$12,Assumptions!$B$11,IF(V5&lt;Assumptions!$B$14,Assumptions!$B$13,Assumptions!$B$15))</f>
        <v>5E-005</v>
      </c>
      <c r="W9" s="13" t="n">
        <f aca="false">IF(W5&lt;Assumptions!$B$12,Assumptions!$B$11,IF(W5&lt;Assumptions!$B$14,Assumptions!$B$13,Assumptions!$B$15))</f>
        <v>5E-005</v>
      </c>
      <c r="X9" s="13" t="n">
        <f aca="false">IF(X5&lt;Assumptions!$B$12,Assumptions!$B$11,IF(X5&lt;Assumptions!$B$14,Assumptions!$B$13,Assumptions!$B$15))</f>
        <v>5E-005</v>
      </c>
      <c r="Y9" s="13" t="n">
        <f aca="false">IF(Y5&lt;Assumptions!$B$12,Assumptions!$B$11,IF(Y5&lt;Assumptions!$B$14,Assumptions!$B$13,Assumptions!$B$15))</f>
        <v>5E-005</v>
      </c>
      <c r="Z9" s="13" t="n">
        <f aca="false">IF(Z5&lt;Assumptions!$B$12,Assumptions!$B$11,IF(Z5&lt;Assumptions!$B$14,Assumptions!$B$13,Assumptions!$B$15))</f>
        <v>5E-005</v>
      </c>
      <c r="AA9" s="13" t="n">
        <f aca="false">IF(AA5&lt;Assumptions!$B$12,Assumptions!$B$11,IF(AA5&lt;Assumptions!$B$14,Assumptions!$B$13,Assumptions!$B$15))</f>
        <v>5E-005</v>
      </c>
      <c r="AB9" s="13" t="n">
        <f aca="false">IF(AB5&lt;Assumptions!$B$12,Assumptions!$B$11,IF(AB5&lt;Assumptions!$B$14,Assumptions!$B$13,Assumptions!$B$15))</f>
        <v>5E-005</v>
      </c>
      <c r="AC9" s="13" t="n">
        <f aca="false">IF(AC5&lt;Assumptions!$B$12,Assumptions!$B$11,IF(AC5&lt;Assumptions!$B$14,Assumptions!$B$13,Assumptions!$B$15))</f>
        <v>5E-005</v>
      </c>
      <c r="AD9" s="13" t="n">
        <f aca="false">IF(AD5&lt;Assumptions!$B$12,Assumptions!$B$11,IF(AD5&lt;Assumptions!$B$14,Assumptions!$B$13,Assumptions!$B$15))</f>
        <v>5E-005</v>
      </c>
      <c r="AE9" s="13" t="n">
        <f aca="false">IF(AE5&lt;Assumptions!$B$12,Assumptions!$B$11,IF(AE5&lt;Assumptions!$B$14,Assumptions!$B$13,Assumptions!$B$15))</f>
        <v>5E-005</v>
      </c>
      <c r="AF9" s="13" t="n">
        <f aca="false">IF(AF5&lt;Assumptions!$B$12,Assumptions!$B$11,IF(AF5&lt;Assumptions!$B$14,Assumptions!$B$13,Assumptions!$B$15))</f>
        <v>5E-005</v>
      </c>
      <c r="AG9" s="13" t="n">
        <f aca="false">IF(AG5&lt;Assumptions!$B$12,Assumptions!$B$11,IF(AG5&lt;Assumptions!$B$14,Assumptions!$B$13,Assumptions!$B$15))</f>
        <v>2E-005</v>
      </c>
      <c r="AH9" s="13" t="n">
        <f aca="false">IF(AH5&lt;Assumptions!$B$12,Assumptions!$B$11,IF(AH5&lt;Assumptions!$B$14,Assumptions!$B$13,Assumptions!$B$15))</f>
        <v>2E-005</v>
      </c>
      <c r="AI9" s="13" t="n">
        <f aca="false">IF(AI5&lt;Assumptions!$B$12,Assumptions!$B$11,IF(AI5&lt;Assumptions!$B$14,Assumptions!$B$13,Assumptions!$B$15))</f>
        <v>2E-005</v>
      </c>
      <c r="AJ9" s="13" t="n">
        <f aca="false">IF(AJ5&lt;Assumptions!$B$12,Assumptions!$B$11,IF(AJ5&lt;Assumptions!$B$14,Assumptions!$B$13,Assumptions!$B$15))</f>
        <v>2E-005</v>
      </c>
      <c r="AK9" s="13" t="n">
        <f aca="false">IF(AK5&lt;Assumptions!$B$12,Assumptions!$B$11,IF(AK5&lt;Assumptions!$B$14,Assumptions!$B$13,Assumptions!$B$15))</f>
        <v>2E-005</v>
      </c>
    </row>
    <row r="10" customFormat="false" ht="15" hidden="false" customHeight="false" outlineLevel="0" collapsed="false">
      <c r="A10" s="2" t="s">
        <v>47</v>
      </c>
      <c r="B10" s="14" t="n">
        <f aca="false">B8*B9</f>
        <v>18</v>
      </c>
      <c r="C10" s="14" t="n">
        <f aca="false">C8*C9</f>
        <v>21.6</v>
      </c>
      <c r="D10" s="14" t="n">
        <f aca="false">D8*D9</f>
        <v>25.92</v>
      </c>
      <c r="E10" s="14" t="n">
        <f aca="false">E8*E9</f>
        <v>31.104</v>
      </c>
      <c r="F10" s="14" t="n">
        <f aca="false">F8*F9</f>
        <v>37.332</v>
      </c>
      <c r="G10" s="14" t="n">
        <f aca="false">G8*G9</f>
        <v>44.802</v>
      </c>
      <c r="H10" s="14" t="n">
        <f aca="false">H8*H9</f>
        <v>51.516</v>
      </c>
      <c r="I10" s="14" t="n">
        <f aca="false">I8*I9</f>
        <v>59.238</v>
      </c>
      <c r="J10" s="14" t="n">
        <f aca="false">J8*J9</f>
        <v>68.13</v>
      </c>
      <c r="K10" s="14" t="n">
        <f aca="false">K8*K9</f>
        <v>78.354</v>
      </c>
      <c r="L10" s="14" t="n">
        <f aca="false">L8*L9</f>
        <v>22.527</v>
      </c>
      <c r="M10" s="14" t="n">
        <f aca="false">M8*M9</f>
        <v>25.9065</v>
      </c>
      <c r="N10" s="14" t="n">
        <f aca="false">N8*N9</f>
        <v>29.7945</v>
      </c>
      <c r="O10" s="14" t="n">
        <f aca="false">O8*O9</f>
        <v>34.263</v>
      </c>
      <c r="P10" s="14" t="n">
        <f aca="false">P8*P9</f>
        <v>39.402</v>
      </c>
      <c r="Q10" s="14" t="n">
        <f aca="false">Q8*Q9</f>
        <v>45.3105</v>
      </c>
      <c r="R10" s="14" t="n">
        <f aca="false">R8*R9</f>
        <v>52.1055</v>
      </c>
      <c r="S10" s="14" t="n">
        <f aca="false">S8*S9</f>
        <v>59.922</v>
      </c>
      <c r="T10" s="14" t="n">
        <f aca="false">T8*T9</f>
        <v>65.916</v>
      </c>
      <c r="U10" s="14" t="n">
        <f aca="false">U8*U9</f>
        <v>72.5085</v>
      </c>
      <c r="V10" s="14" t="n">
        <f aca="false">V8*V9</f>
        <v>79.758</v>
      </c>
      <c r="W10" s="14" t="n">
        <f aca="false">W8*W9</f>
        <v>87.732</v>
      </c>
      <c r="X10" s="14" t="n">
        <f aca="false">X8*X9</f>
        <v>96.507</v>
      </c>
      <c r="Y10" s="14" t="n">
        <f aca="false">Y8*Y9</f>
        <v>106.1595</v>
      </c>
      <c r="Z10" s="14" t="n">
        <f aca="false">Z8*Z9</f>
        <v>116.775</v>
      </c>
      <c r="AA10" s="14" t="n">
        <f aca="false">AA8*AA9</f>
        <v>128.4525</v>
      </c>
      <c r="AB10" s="14" t="n">
        <f aca="false">AB8*AB9</f>
        <v>141.3</v>
      </c>
      <c r="AC10" s="14" t="n">
        <f aca="false">AC8*AC9</f>
        <v>155.43</v>
      </c>
      <c r="AD10" s="14" t="n">
        <f aca="false">AD8*AD9</f>
        <v>170.973</v>
      </c>
      <c r="AE10" s="14" t="n">
        <f aca="false">AE8*AE9</f>
        <v>188.0685</v>
      </c>
      <c r="AF10" s="14" t="n">
        <f aca="false">AF8*AF9</f>
        <v>206.874</v>
      </c>
      <c r="AG10" s="14" t="n">
        <f aca="false">AG8*AG9</f>
        <v>91.0242</v>
      </c>
      <c r="AH10" s="14" t="n">
        <f aca="false">AH8*AH9</f>
        <v>100.1268</v>
      </c>
      <c r="AI10" s="14" t="n">
        <f aca="false">AI8*AI9</f>
        <v>110.1402</v>
      </c>
      <c r="AJ10" s="14" t="n">
        <f aca="false">AJ8*AJ9</f>
        <v>121.1544</v>
      </c>
      <c r="AK10" s="14" t="n">
        <f aca="false">AK8*AK9</f>
        <v>133.2702</v>
      </c>
    </row>
    <row r="11" customFormat="false" ht="15" hidden="false" customHeight="false" outlineLevel="0" collapsed="false">
      <c r="A11" s="2" t="s">
        <v>48</v>
      </c>
      <c r="B11" s="15" t="n">
        <f aca="false">B10*Assumptions!$B$3</f>
        <v>7668</v>
      </c>
      <c r="C11" s="15" t="n">
        <f aca="false">C10*Assumptions!$B$3</f>
        <v>9201.6</v>
      </c>
      <c r="D11" s="15" t="n">
        <f aca="false">D10*Assumptions!$B$3</f>
        <v>11041.92</v>
      </c>
      <c r="E11" s="15" t="n">
        <f aca="false">E10*Assumptions!$B$3</f>
        <v>13250.304</v>
      </c>
      <c r="F11" s="15" t="n">
        <f aca="false">F10*Assumptions!$B$3</f>
        <v>15903.432</v>
      </c>
      <c r="G11" s="15" t="n">
        <f aca="false">G10*Assumptions!$B$3</f>
        <v>19085.652</v>
      </c>
      <c r="H11" s="15" t="n">
        <f aca="false">H10*Assumptions!$B$3</f>
        <v>21945.816</v>
      </c>
      <c r="I11" s="15" t="n">
        <f aca="false">I10*Assumptions!$B$3</f>
        <v>25235.388</v>
      </c>
      <c r="J11" s="15" t="n">
        <f aca="false">J10*Assumptions!$B$3</f>
        <v>29023.38</v>
      </c>
      <c r="K11" s="15" t="n">
        <f aca="false">K10*Assumptions!$B$3</f>
        <v>33378.804</v>
      </c>
      <c r="L11" s="15" t="n">
        <f aca="false">L10*Assumptions!$B$3</f>
        <v>9596.502</v>
      </c>
      <c r="M11" s="15" t="n">
        <f aca="false">M10*Assumptions!$B$3</f>
        <v>11036.169</v>
      </c>
      <c r="N11" s="15" t="n">
        <f aca="false">N10*Assumptions!$B$3</f>
        <v>12692.457</v>
      </c>
      <c r="O11" s="15" t="n">
        <f aca="false">O10*Assumptions!$B$3</f>
        <v>14596.038</v>
      </c>
      <c r="P11" s="15" t="n">
        <f aca="false">P10*Assumptions!$B$3</f>
        <v>16785.252</v>
      </c>
      <c r="Q11" s="15" t="n">
        <f aca="false">Q10*Assumptions!$B$3</f>
        <v>19302.273</v>
      </c>
      <c r="R11" s="15" t="n">
        <f aca="false">R10*Assumptions!$B$3</f>
        <v>22196.943</v>
      </c>
      <c r="S11" s="15" t="n">
        <f aca="false">S10*Assumptions!$B$3</f>
        <v>25526.772</v>
      </c>
      <c r="T11" s="15" t="n">
        <f aca="false">T10*Assumptions!$B$3</f>
        <v>28080.216</v>
      </c>
      <c r="U11" s="15" t="n">
        <f aca="false">U10*Assumptions!$B$3</f>
        <v>30888.621</v>
      </c>
      <c r="V11" s="15" t="n">
        <f aca="false">V10*Assumptions!$B$3</f>
        <v>33976.908</v>
      </c>
      <c r="W11" s="15" t="n">
        <f aca="false">W10*Assumptions!$B$3</f>
        <v>37373.832</v>
      </c>
      <c r="X11" s="15" t="n">
        <f aca="false">X10*Assumptions!$B$3</f>
        <v>41111.982</v>
      </c>
      <c r="Y11" s="15" t="n">
        <f aca="false">Y10*Assumptions!$B$3</f>
        <v>45223.947</v>
      </c>
      <c r="Z11" s="15" t="n">
        <f aca="false">Z10*Assumptions!$B$3</f>
        <v>49746.15</v>
      </c>
      <c r="AA11" s="15" t="n">
        <f aca="false">AA10*Assumptions!$B$3</f>
        <v>54720.765</v>
      </c>
      <c r="AB11" s="15" t="n">
        <f aca="false">AB10*Assumptions!$B$3</f>
        <v>60193.8</v>
      </c>
      <c r="AC11" s="15" t="n">
        <f aca="false">AC10*Assumptions!$B$3</f>
        <v>66213.18</v>
      </c>
      <c r="AD11" s="15" t="n">
        <f aca="false">AD10*Assumptions!$B$3</f>
        <v>72834.498</v>
      </c>
      <c r="AE11" s="15" t="n">
        <f aca="false">AE10*Assumptions!$B$3</f>
        <v>80117.181</v>
      </c>
      <c r="AF11" s="15" t="n">
        <f aca="false">AF10*Assumptions!$B$3</f>
        <v>88128.324</v>
      </c>
      <c r="AG11" s="15" t="n">
        <f aca="false">AG10*Assumptions!$B$3</f>
        <v>38776.3092</v>
      </c>
      <c r="AH11" s="15" t="n">
        <f aca="false">AH10*Assumptions!$B$3</f>
        <v>42654.0168</v>
      </c>
      <c r="AI11" s="15" t="n">
        <f aca="false">AI10*Assumptions!$B$3</f>
        <v>46919.7252</v>
      </c>
      <c r="AJ11" s="15" t="n">
        <f aca="false">AJ10*Assumptions!$B$3</f>
        <v>51611.7744</v>
      </c>
      <c r="AK11" s="15" t="n">
        <f aca="false">AK10*Assumptions!$B$3</f>
        <v>56773.1052</v>
      </c>
    </row>
    <row r="13" customFormat="false" ht="15" hidden="false" customHeight="false" outlineLevel="0" collapsed="false">
      <c r="A13" s="2" t="s">
        <v>49</v>
      </c>
      <c r="B13" s="15" t="n">
        <f aca="false">B5*Assumptions!$B$17*Assumptions!$B$18</f>
        <v>299.5</v>
      </c>
      <c r="C13" s="15" t="n">
        <f aca="false">C5*Assumptions!$B$17*Assumptions!$B$18</f>
        <v>359.4</v>
      </c>
      <c r="D13" s="15" t="n">
        <f aca="false">D5*Assumptions!$B$17*Assumptions!$B$18</f>
        <v>431.28</v>
      </c>
      <c r="E13" s="15" t="n">
        <f aca="false">E5*Assumptions!$B$17*Assumptions!$B$18</f>
        <v>517.536</v>
      </c>
      <c r="F13" s="15" t="n">
        <f aca="false">F5*Assumptions!$B$17*Assumptions!$B$18</f>
        <v>621.163</v>
      </c>
      <c r="G13" s="15" t="n">
        <f aca="false">G5*Assumptions!$B$17*Assumptions!$B$18</f>
        <v>745.4555</v>
      </c>
      <c r="H13" s="15" t="n">
        <f aca="false">H5*Assumptions!$B$17*Assumptions!$B$18</f>
        <v>857.169</v>
      </c>
      <c r="I13" s="15" t="n">
        <f aca="false">I5*Assumptions!$B$17*Assumptions!$B$18</f>
        <v>985.6545</v>
      </c>
      <c r="J13" s="15" t="n">
        <f aca="false">J5*Assumptions!$B$17*Assumptions!$B$18</f>
        <v>1133.6075</v>
      </c>
      <c r="K13" s="15" t="n">
        <f aca="false">K5*Assumptions!$B$17*Assumptions!$B$18</f>
        <v>1303.7235</v>
      </c>
      <c r="L13" s="15" t="n">
        <f aca="false">L5*Assumptions!$B$17*Assumptions!$B$18</f>
        <v>1499.297</v>
      </c>
      <c r="M13" s="15" t="n">
        <f aca="false">M5*Assumptions!$B$17*Assumptions!$B$18</f>
        <v>1724.2215</v>
      </c>
      <c r="N13" s="15" t="n">
        <f aca="false">N5*Assumptions!$B$17*Assumptions!$B$18</f>
        <v>1982.9895</v>
      </c>
      <c r="O13" s="15" t="n">
        <f aca="false">O5*Assumptions!$B$17*Assumptions!$B$18</f>
        <v>2280.393</v>
      </c>
      <c r="P13" s="15" t="n">
        <f aca="false">P5*Assumptions!$B$17*Assumptions!$B$18</f>
        <v>2622.422</v>
      </c>
      <c r="Q13" s="15" t="n">
        <f aca="false">Q5*Assumptions!$B$17*Assumptions!$B$18</f>
        <v>3015.6655</v>
      </c>
      <c r="R13" s="15" t="n">
        <f aca="false">R5*Assumptions!$B$17*Assumptions!$B$18</f>
        <v>3467.9105</v>
      </c>
      <c r="S13" s="15" t="n">
        <f aca="false">S5*Assumptions!$B$17*Assumptions!$B$18</f>
        <v>3988.142</v>
      </c>
      <c r="T13" s="15" t="n">
        <f aca="false">T5*Assumptions!$B$17*Assumptions!$B$18</f>
        <v>4387.076</v>
      </c>
      <c r="U13" s="15" t="n">
        <f aca="false">U5*Assumptions!$B$17*Assumptions!$B$18</f>
        <v>4825.8435</v>
      </c>
      <c r="V13" s="15" t="n">
        <f aca="false">V5*Assumptions!$B$17*Assumptions!$B$18</f>
        <v>5308.338</v>
      </c>
      <c r="W13" s="15" t="n">
        <f aca="false">W5*Assumptions!$B$17*Assumptions!$B$18</f>
        <v>5839.052</v>
      </c>
      <c r="X13" s="15" t="n">
        <f aca="false">X5*Assumptions!$B$17*Assumptions!$B$18</f>
        <v>6423.077</v>
      </c>
      <c r="Y13" s="15" t="n">
        <f aca="false">Y5*Assumptions!$B$17*Assumptions!$B$18</f>
        <v>7065.5045</v>
      </c>
      <c r="Z13" s="15" t="n">
        <f aca="false">Z5*Assumptions!$B$17*Assumptions!$B$18</f>
        <v>7772.025</v>
      </c>
      <c r="AA13" s="15" t="n">
        <f aca="false">AA5*Assumptions!$B$17*Assumptions!$B$18</f>
        <v>8549.2275</v>
      </c>
      <c r="AB13" s="15" t="n">
        <f aca="false">AB5*Assumptions!$B$17*Assumptions!$B$18</f>
        <v>9404.3</v>
      </c>
      <c r="AC13" s="15" t="n">
        <f aca="false">AC5*Assumptions!$B$17*Assumptions!$B$18</f>
        <v>10344.73</v>
      </c>
      <c r="AD13" s="15" t="n">
        <f aca="false">AD5*Assumptions!$B$17*Assumptions!$B$18</f>
        <v>11379.203</v>
      </c>
      <c r="AE13" s="15" t="n">
        <f aca="false">AE5*Assumptions!$B$17*Assumptions!$B$18</f>
        <v>12517.0035</v>
      </c>
      <c r="AF13" s="15" t="n">
        <f aca="false">AF5*Assumptions!$B$17*Assumptions!$B$18</f>
        <v>13768.614</v>
      </c>
      <c r="AG13" s="15" t="n">
        <f aca="false">AG5*Assumptions!$B$17*Assumptions!$B$18</f>
        <v>15145.4155</v>
      </c>
      <c r="AH13" s="15" t="n">
        <f aca="false">AH5*Assumptions!$B$17*Assumptions!$B$18</f>
        <v>16659.987</v>
      </c>
      <c r="AI13" s="15" t="n">
        <f aca="false">AI5*Assumptions!$B$17*Assumptions!$B$18</f>
        <v>18326.1055</v>
      </c>
      <c r="AJ13" s="15" t="n">
        <f aca="false">AJ5*Assumptions!$B$17*Assumptions!$B$18</f>
        <v>20158.746</v>
      </c>
      <c r="AK13" s="15" t="n">
        <f aca="false">AK5*Assumptions!$B$17*Assumptions!$B$18</f>
        <v>22174.6805</v>
      </c>
    </row>
    <row r="14" customFormat="false" ht="15" hidden="false" customHeight="false" outlineLevel="0" collapsed="false">
      <c r="A14" s="2" t="s">
        <v>50</v>
      </c>
      <c r="B14" s="15" t="n">
        <f aca="false">B5*Assumptions!$B$19</f>
        <v>100</v>
      </c>
      <c r="C14" s="15" t="n">
        <f aca="false">C5*Assumptions!$B$19</f>
        <v>120</v>
      </c>
      <c r="D14" s="15" t="n">
        <f aca="false">D5*Assumptions!$B$19</f>
        <v>144</v>
      </c>
      <c r="E14" s="15" t="n">
        <f aca="false">E5*Assumptions!$B$19</f>
        <v>172.8</v>
      </c>
      <c r="F14" s="15" t="n">
        <f aca="false">F5*Assumptions!$B$19</f>
        <v>207.4</v>
      </c>
      <c r="G14" s="15" t="n">
        <f aca="false">G5*Assumptions!$B$19</f>
        <v>248.9</v>
      </c>
      <c r="H14" s="15" t="n">
        <f aca="false">H5*Assumptions!$B$19</f>
        <v>286.2</v>
      </c>
      <c r="I14" s="15" t="n">
        <f aca="false">I5*Assumptions!$B$19</f>
        <v>329.1</v>
      </c>
      <c r="J14" s="15" t="n">
        <f aca="false">J5*Assumptions!$B$19</f>
        <v>378.5</v>
      </c>
      <c r="K14" s="15" t="n">
        <f aca="false">K5*Assumptions!$B$19</f>
        <v>435.3</v>
      </c>
      <c r="L14" s="15" t="n">
        <f aca="false">L5*Assumptions!$B$19</f>
        <v>500.6</v>
      </c>
      <c r="M14" s="15" t="n">
        <f aca="false">M5*Assumptions!$B$19</f>
        <v>575.7</v>
      </c>
      <c r="N14" s="15" t="n">
        <f aca="false">N5*Assumptions!$B$19</f>
        <v>662.1</v>
      </c>
      <c r="O14" s="15" t="n">
        <f aca="false">O5*Assumptions!$B$19</f>
        <v>761.4</v>
      </c>
      <c r="P14" s="15" t="n">
        <f aca="false">P5*Assumptions!$B$19</f>
        <v>875.6</v>
      </c>
      <c r="Q14" s="15" t="n">
        <f aca="false">Q5*Assumptions!$B$19</f>
        <v>1006.9</v>
      </c>
      <c r="R14" s="15" t="n">
        <f aca="false">R5*Assumptions!$B$19</f>
        <v>1157.9</v>
      </c>
      <c r="S14" s="15" t="n">
        <f aca="false">S5*Assumptions!$B$19</f>
        <v>1331.6</v>
      </c>
      <c r="T14" s="15" t="n">
        <f aca="false">T5*Assumptions!$B$19</f>
        <v>1464.8</v>
      </c>
      <c r="U14" s="15" t="n">
        <f aca="false">U5*Assumptions!$B$19</f>
        <v>1611.3</v>
      </c>
      <c r="V14" s="15" t="n">
        <f aca="false">V5*Assumptions!$B$19</f>
        <v>1772.4</v>
      </c>
      <c r="W14" s="15" t="n">
        <f aca="false">W5*Assumptions!$B$19</f>
        <v>1949.6</v>
      </c>
      <c r="X14" s="15" t="n">
        <f aca="false">X5*Assumptions!$B$19</f>
        <v>2144.6</v>
      </c>
      <c r="Y14" s="15" t="n">
        <f aca="false">Y5*Assumptions!$B$19</f>
        <v>2359.1</v>
      </c>
      <c r="Z14" s="15" t="n">
        <f aca="false">Z5*Assumptions!$B$19</f>
        <v>2595</v>
      </c>
      <c r="AA14" s="15" t="n">
        <f aca="false">AA5*Assumptions!$B$19</f>
        <v>2854.5</v>
      </c>
      <c r="AB14" s="15" t="n">
        <f aca="false">AB5*Assumptions!$B$19</f>
        <v>3140</v>
      </c>
      <c r="AC14" s="15" t="n">
        <f aca="false">AC5*Assumptions!$B$19</f>
        <v>3454</v>
      </c>
      <c r="AD14" s="15" t="n">
        <f aca="false">AD5*Assumptions!$B$19</f>
        <v>3799.4</v>
      </c>
      <c r="AE14" s="15" t="n">
        <f aca="false">AE5*Assumptions!$B$19</f>
        <v>4179.3</v>
      </c>
      <c r="AF14" s="15" t="n">
        <f aca="false">AF5*Assumptions!$B$19</f>
        <v>4597.2</v>
      </c>
      <c r="AG14" s="15" t="n">
        <f aca="false">AG5*Assumptions!$B$19</f>
        <v>5056.9</v>
      </c>
      <c r="AH14" s="15" t="n">
        <f aca="false">AH5*Assumptions!$B$19</f>
        <v>5562.6</v>
      </c>
      <c r="AI14" s="15" t="n">
        <f aca="false">AI5*Assumptions!$B$19</f>
        <v>6118.9</v>
      </c>
      <c r="AJ14" s="15" t="n">
        <f aca="false">AJ5*Assumptions!$B$19</f>
        <v>6730.8</v>
      </c>
      <c r="AK14" s="15" t="n">
        <f aca="false">AK5*Assumptions!$B$19</f>
        <v>7403.9</v>
      </c>
    </row>
    <row r="15" customFormat="false" ht="15" hidden="false" customHeight="false" outlineLevel="0" collapsed="false">
      <c r="A15" s="2" t="s">
        <v>51</v>
      </c>
      <c r="B15" s="15" t="n">
        <f aca="false">IF(B2&gt;=Assumptions!$B$20,Assumptions!$B$21*(1+Assumptions!$B$22)^(B2-Assumptions!$B$20),0)</f>
        <v>0</v>
      </c>
      <c r="C15" s="15" t="n">
        <f aca="false">IF(C2&gt;=Assumptions!$B$20,Assumptions!$B$21*(1+Assumptions!$B$22)^(C2-Assumptions!$B$20),0)</f>
        <v>0</v>
      </c>
      <c r="D15" s="15" t="n">
        <f aca="false">IF(D2&gt;=Assumptions!$B$20,Assumptions!$B$21*(1+Assumptions!$B$22)^(D2-Assumptions!$B$20),0)</f>
        <v>0</v>
      </c>
      <c r="E15" s="15" t="n">
        <f aca="false">IF(E2&gt;=Assumptions!$B$20,Assumptions!$B$21*(1+Assumptions!$B$22)^(E2-Assumptions!$B$20),0)</f>
        <v>0</v>
      </c>
      <c r="F15" s="15" t="n">
        <f aca="false">IF(F2&gt;=Assumptions!$B$20,Assumptions!$B$21*(1+Assumptions!$B$22)^(F2-Assumptions!$B$20),0)</f>
        <v>0</v>
      </c>
      <c r="G15" s="15" t="n">
        <f aca="false">IF(G2&gt;=Assumptions!$B$20,Assumptions!$B$21*(1+Assumptions!$B$22)^(G2-Assumptions!$B$20),0)</f>
        <v>0</v>
      </c>
      <c r="H15" s="15" t="n">
        <f aca="false">IF(H2&gt;=Assumptions!$B$20,Assumptions!$B$21*(1+Assumptions!$B$22)^(H2-Assumptions!$B$20),0)</f>
        <v>0</v>
      </c>
      <c r="I15" s="15" t="n">
        <f aca="false">IF(I2&gt;=Assumptions!$B$20,Assumptions!$B$21*(1+Assumptions!$B$22)^(I2-Assumptions!$B$20),0)</f>
        <v>0</v>
      </c>
      <c r="J15" s="15" t="n">
        <f aca="false">IF(J2&gt;=Assumptions!$B$20,Assumptions!$B$21*(1+Assumptions!$B$22)^(J2-Assumptions!$B$20),0)</f>
        <v>0</v>
      </c>
      <c r="K15" s="15" t="n">
        <f aca="false">IF(K2&gt;=Assumptions!$B$20,Assumptions!$B$21*(1+Assumptions!$B$22)^(K2-Assumptions!$B$20),0)</f>
        <v>5000</v>
      </c>
      <c r="L15" s="15" t="n">
        <f aca="false">IF(L2&gt;=Assumptions!$B$20,Assumptions!$B$21*(1+Assumptions!$B$22)^(L2-Assumptions!$B$20),0)</f>
        <v>5500</v>
      </c>
      <c r="M15" s="15" t="n">
        <f aca="false">IF(M2&gt;=Assumptions!$B$20,Assumptions!$B$21*(1+Assumptions!$B$22)^(M2-Assumptions!$B$20),0)</f>
        <v>6050</v>
      </c>
      <c r="N15" s="15" t="n">
        <f aca="false">IF(N2&gt;=Assumptions!$B$20,Assumptions!$B$21*(1+Assumptions!$B$22)^(N2-Assumptions!$B$20),0)</f>
        <v>6655</v>
      </c>
      <c r="O15" s="15" t="n">
        <f aca="false">IF(O2&gt;=Assumptions!$B$20,Assumptions!$B$21*(1+Assumptions!$B$22)^(O2-Assumptions!$B$20),0)</f>
        <v>7320.5</v>
      </c>
      <c r="P15" s="15" t="n">
        <f aca="false">IF(P2&gt;=Assumptions!$B$20,Assumptions!$B$21*(1+Assumptions!$B$22)^(P2-Assumptions!$B$20),0)</f>
        <v>8052.55</v>
      </c>
      <c r="Q15" s="15" t="n">
        <f aca="false">IF(Q2&gt;=Assumptions!$B$20,Assumptions!$B$21*(1+Assumptions!$B$22)^(Q2-Assumptions!$B$20),0)</f>
        <v>8857.805</v>
      </c>
      <c r="R15" s="15" t="n">
        <f aca="false">IF(R2&gt;=Assumptions!$B$20,Assumptions!$B$21*(1+Assumptions!$B$22)^(R2-Assumptions!$B$20),0)</f>
        <v>9743.58550000001</v>
      </c>
      <c r="S15" s="15" t="n">
        <f aca="false">IF(S2&gt;=Assumptions!$B$20,Assumptions!$B$21*(1+Assumptions!$B$22)^(S2-Assumptions!$B$20),0)</f>
        <v>10717.94405</v>
      </c>
      <c r="T15" s="15" t="n">
        <f aca="false">IF(T2&gt;=Assumptions!$B$20,Assumptions!$B$21*(1+Assumptions!$B$22)^(T2-Assumptions!$B$20),0)</f>
        <v>11789.738455</v>
      </c>
      <c r="U15" s="15" t="n">
        <f aca="false">IF(U2&gt;=Assumptions!$B$20,Assumptions!$B$21*(1+Assumptions!$B$22)^(U2-Assumptions!$B$20),0)</f>
        <v>12968.7123005</v>
      </c>
      <c r="V15" s="15" t="n">
        <f aca="false">IF(V2&gt;=Assumptions!$B$20,Assumptions!$B$21*(1+Assumptions!$B$22)^(V2-Assumptions!$B$20),0)</f>
        <v>14265.58353055</v>
      </c>
      <c r="W15" s="15" t="n">
        <f aca="false">IF(W2&gt;=Assumptions!$B$20,Assumptions!$B$21*(1+Assumptions!$B$22)^(W2-Assumptions!$B$20),0)</f>
        <v>15692.141883605</v>
      </c>
      <c r="X15" s="15" t="n">
        <f aca="false">IF(X2&gt;=Assumptions!$B$20,Assumptions!$B$21*(1+Assumptions!$B$22)^(X2-Assumptions!$B$20),0)</f>
        <v>17261.3560719655</v>
      </c>
      <c r="Y15" s="15" t="n">
        <f aca="false">IF(Y2&gt;=Assumptions!$B$20,Assumptions!$B$21*(1+Assumptions!$B$22)^(Y2-Assumptions!$B$20),0)</f>
        <v>18987.4916791621</v>
      </c>
      <c r="Z15" s="15" t="n">
        <f aca="false">IF(Z2&gt;=Assumptions!$B$20,Assumptions!$B$21*(1+Assumptions!$B$22)^(Z2-Assumptions!$B$20),0)</f>
        <v>20886.2408470783</v>
      </c>
      <c r="AA15" s="15" t="n">
        <f aca="false">IF(AA2&gt;=Assumptions!$B$20,Assumptions!$B$21*(1+Assumptions!$B$22)^(AA2-Assumptions!$B$20),0)</f>
        <v>22974.8649317861</v>
      </c>
      <c r="AB15" s="15" t="n">
        <f aca="false">IF(AB2&gt;=Assumptions!$B$20,Assumptions!$B$21*(1+Assumptions!$B$22)^(AB2-Assumptions!$B$20),0)</f>
        <v>25272.3514249647</v>
      </c>
      <c r="AC15" s="15" t="n">
        <f aca="false">IF(AC2&gt;=Assumptions!$B$20,Assumptions!$B$21*(1+Assumptions!$B$22)^(AC2-Assumptions!$B$20),0)</f>
        <v>27799.5865674612</v>
      </c>
      <c r="AD15" s="15" t="n">
        <f aca="false">IF(AD2&gt;=Assumptions!$B$20,Assumptions!$B$21*(1+Assumptions!$B$22)^(AD2-Assumptions!$B$20),0)</f>
        <v>30579.5452242073</v>
      </c>
      <c r="AE15" s="15" t="n">
        <f aca="false">IF(AE2&gt;=Assumptions!$B$20,Assumptions!$B$21*(1+Assumptions!$B$22)^(AE2-Assumptions!$B$20),0)</f>
        <v>33637.4997466281</v>
      </c>
      <c r="AF15" s="15" t="n">
        <f aca="false">IF(AF2&gt;=Assumptions!$B$20,Assumptions!$B$21*(1+Assumptions!$B$22)^(AF2-Assumptions!$B$20),0)</f>
        <v>37001.2497212909</v>
      </c>
      <c r="AG15" s="15" t="n">
        <f aca="false">IF(AG2&gt;=Assumptions!$B$20,Assumptions!$B$21*(1+Assumptions!$B$22)^(AG2-Assumptions!$B$20),0)</f>
        <v>40701.37469342</v>
      </c>
      <c r="AH15" s="15" t="n">
        <f aca="false">IF(AH2&gt;=Assumptions!$B$20,Assumptions!$B$21*(1+Assumptions!$B$22)^(AH2-Assumptions!$B$20),0)</f>
        <v>44771.512162762</v>
      </c>
      <c r="AI15" s="15" t="n">
        <f aca="false">IF(AI2&gt;=Assumptions!$B$20,Assumptions!$B$21*(1+Assumptions!$B$22)^(AI2-Assumptions!$B$20),0)</f>
        <v>49248.6633790381</v>
      </c>
      <c r="AJ15" s="15" t="n">
        <f aca="false">IF(AJ2&gt;=Assumptions!$B$20,Assumptions!$B$21*(1+Assumptions!$B$22)^(AJ2-Assumptions!$B$20),0)</f>
        <v>54173.529716942</v>
      </c>
      <c r="AK15" s="15" t="n">
        <f aca="false">IF(AK2&gt;=Assumptions!$B$20,Assumptions!$B$21*(1+Assumptions!$B$22)^(AK2-Assumptions!$B$20),0)</f>
        <v>59590.8826886362</v>
      </c>
    </row>
    <row r="16" customFormat="false" ht="15" hidden="false" customHeight="false" outlineLevel="0" collapsed="false">
      <c r="A16" s="2" t="s">
        <v>52</v>
      </c>
      <c r="B16" s="15" t="n">
        <f aca="false">IF(B2&gt;=Assumptions!$B$23,Assumptions!$B$24*(1+Assumptions!$B$25)^(B2-Assumptions!$B$23),0)</f>
        <v>0</v>
      </c>
      <c r="C16" s="15" t="n">
        <f aca="false">IF(C2&gt;=Assumptions!$B$23,Assumptions!$B$24*(1+Assumptions!$B$25)^(C2-Assumptions!$B$23),0)</f>
        <v>0</v>
      </c>
      <c r="D16" s="15" t="n">
        <f aca="false">IF(D2&gt;=Assumptions!$B$23,Assumptions!$B$24*(1+Assumptions!$B$25)^(D2-Assumptions!$B$23),0)</f>
        <v>0</v>
      </c>
      <c r="E16" s="15" t="n">
        <f aca="false">IF(E2&gt;=Assumptions!$B$23,Assumptions!$B$24*(1+Assumptions!$B$25)^(E2-Assumptions!$B$23),0)</f>
        <v>0</v>
      </c>
      <c r="F16" s="15" t="n">
        <f aca="false">IF(F2&gt;=Assumptions!$B$23,Assumptions!$B$24*(1+Assumptions!$B$25)^(F2-Assumptions!$B$23),0)</f>
        <v>0</v>
      </c>
      <c r="G16" s="15" t="n">
        <f aca="false">IF(G2&gt;=Assumptions!$B$23,Assumptions!$B$24*(1+Assumptions!$B$25)^(G2-Assumptions!$B$23),0)</f>
        <v>0</v>
      </c>
      <c r="H16" s="15" t="n">
        <f aca="false">IF(H2&gt;=Assumptions!$B$23,Assumptions!$B$24*(1+Assumptions!$B$25)^(H2-Assumptions!$B$23),0)</f>
        <v>0</v>
      </c>
      <c r="I16" s="15" t="n">
        <f aca="false">IF(I2&gt;=Assumptions!$B$23,Assumptions!$B$24*(1+Assumptions!$B$25)^(I2-Assumptions!$B$23),0)</f>
        <v>0</v>
      </c>
      <c r="J16" s="15" t="n">
        <f aca="false">IF(J2&gt;=Assumptions!$B$23,Assumptions!$B$24*(1+Assumptions!$B$25)^(J2-Assumptions!$B$23),0)</f>
        <v>0</v>
      </c>
      <c r="K16" s="15" t="n">
        <f aca="false">IF(K2&gt;=Assumptions!$B$23,Assumptions!$B$24*(1+Assumptions!$B$25)^(K2-Assumptions!$B$23),0)</f>
        <v>0</v>
      </c>
      <c r="L16" s="15" t="n">
        <f aca="false">IF(L2&gt;=Assumptions!$B$23,Assumptions!$B$24*(1+Assumptions!$B$25)^(L2-Assumptions!$B$23),0)</f>
        <v>0</v>
      </c>
      <c r="M16" s="15" t="n">
        <f aca="false">IF(M2&gt;=Assumptions!$B$23,Assumptions!$B$24*(1+Assumptions!$B$25)^(M2-Assumptions!$B$23),0)</f>
        <v>0</v>
      </c>
      <c r="N16" s="15" t="n">
        <f aca="false">IF(N2&gt;=Assumptions!$B$23,Assumptions!$B$24*(1+Assumptions!$B$25)^(N2-Assumptions!$B$23),0)</f>
        <v>0</v>
      </c>
      <c r="O16" s="15" t="n">
        <f aca="false">IF(O2&gt;=Assumptions!$B$23,Assumptions!$B$24*(1+Assumptions!$B$25)^(O2-Assumptions!$B$23),0)</f>
        <v>0</v>
      </c>
      <c r="P16" s="15" t="n">
        <f aca="false">IF(P2&gt;=Assumptions!$B$23,Assumptions!$B$24*(1+Assumptions!$B$25)^(P2-Assumptions!$B$23),0)</f>
        <v>0</v>
      </c>
      <c r="Q16" s="15" t="n">
        <f aca="false">IF(Q2&gt;=Assumptions!$B$23,Assumptions!$B$24*(1+Assumptions!$B$25)^(Q2-Assumptions!$B$23),0)</f>
        <v>0</v>
      </c>
      <c r="R16" s="15" t="n">
        <f aca="false">IF(R2&gt;=Assumptions!$B$23,Assumptions!$B$24*(1+Assumptions!$B$25)^(R2-Assumptions!$B$23),0)</f>
        <v>0</v>
      </c>
      <c r="S16" s="15" t="n">
        <f aca="false">IF(S2&gt;=Assumptions!$B$23,Assumptions!$B$24*(1+Assumptions!$B$25)^(S2-Assumptions!$B$23),0)</f>
        <v>0</v>
      </c>
      <c r="T16" s="15" t="n">
        <f aca="false">IF(T2&gt;=Assumptions!$B$23,Assumptions!$B$24*(1+Assumptions!$B$25)^(T2-Assumptions!$B$23),0)</f>
        <v>0</v>
      </c>
      <c r="U16" s="15" t="n">
        <f aca="false">IF(U2&gt;=Assumptions!$B$23,Assumptions!$B$24*(1+Assumptions!$B$25)^(U2-Assumptions!$B$23),0)</f>
        <v>8000</v>
      </c>
      <c r="V16" s="15" t="n">
        <f aca="false">IF(V2&gt;=Assumptions!$B$23,Assumptions!$B$24*(1+Assumptions!$B$25)^(V2-Assumptions!$B$23),0)</f>
        <v>8960</v>
      </c>
      <c r="W16" s="15" t="n">
        <f aca="false">IF(W2&gt;=Assumptions!$B$23,Assumptions!$B$24*(1+Assumptions!$B$25)^(W2-Assumptions!$B$23),0)</f>
        <v>10035.2</v>
      </c>
      <c r="X16" s="15" t="n">
        <f aca="false">IF(X2&gt;=Assumptions!$B$23,Assumptions!$B$24*(1+Assumptions!$B$25)^(X2-Assumptions!$B$23),0)</f>
        <v>11239.424</v>
      </c>
      <c r="Y16" s="15" t="n">
        <f aca="false">IF(Y2&gt;=Assumptions!$B$23,Assumptions!$B$24*(1+Assumptions!$B$25)^(Y2-Assumptions!$B$23),0)</f>
        <v>12588.15488</v>
      </c>
      <c r="Z16" s="15" t="n">
        <f aca="false">IF(Z2&gt;=Assumptions!$B$23,Assumptions!$B$24*(1+Assumptions!$B$25)^(Z2-Assumptions!$B$23),0)</f>
        <v>14098.7334656</v>
      </c>
      <c r="AA16" s="15" t="n">
        <f aca="false">IF(AA2&gt;=Assumptions!$B$23,Assumptions!$B$24*(1+Assumptions!$B$25)^(AA2-Assumptions!$B$23),0)</f>
        <v>15790.581481472</v>
      </c>
      <c r="AB16" s="15" t="n">
        <f aca="false">IF(AB2&gt;=Assumptions!$B$23,Assumptions!$B$24*(1+Assumptions!$B$25)^(AB2-Assumptions!$B$23),0)</f>
        <v>17685.4512592487</v>
      </c>
      <c r="AC16" s="15" t="n">
        <f aca="false">IF(AC2&gt;=Assumptions!$B$23,Assumptions!$B$24*(1+Assumptions!$B$25)^(AC2-Assumptions!$B$23),0)</f>
        <v>19807.7054103585</v>
      </c>
      <c r="AD16" s="15" t="n">
        <f aca="false">IF(AD2&gt;=Assumptions!$B$23,Assumptions!$B$24*(1+Assumptions!$B$25)^(AD2-Assumptions!$B$23),0)</f>
        <v>22184.6300596015</v>
      </c>
      <c r="AE16" s="15" t="n">
        <f aca="false">IF(AE2&gt;=Assumptions!$B$23,Assumptions!$B$24*(1+Assumptions!$B$25)^(AE2-Assumptions!$B$23),0)</f>
        <v>24846.7856667537</v>
      </c>
      <c r="AF16" s="15" t="n">
        <f aca="false">IF(AF2&gt;=Assumptions!$B$23,Assumptions!$B$24*(1+Assumptions!$B$25)^(AF2-Assumptions!$B$23),0)</f>
        <v>27828.3999467641</v>
      </c>
      <c r="AG16" s="15" t="n">
        <f aca="false">IF(AG2&gt;=Assumptions!$B$23,Assumptions!$B$24*(1+Assumptions!$B$25)^(AG2-Assumptions!$B$23),0)</f>
        <v>31167.8079403758</v>
      </c>
      <c r="AH16" s="15" t="n">
        <f aca="false">IF(AH2&gt;=Assumptions!$B$23,Assumptions!$B$24*(1+Assumptions!$B$25)^(AH2-Assumptions!$B$23),0)</f>
        <v>34907.944893221</v>
      </c>
      <c r="AI16" s="15" t="n">
        <f aca="false">IF(AI2&gt;=Assumptions!$B$23,Assumptions!$B$24*(1+Assumptions!$B$25)^(AI2-Assumptions!$B$23),0)</f>
        <v>39096.8982804075</v>
      </c>
      <c r="AJ16" s="15" t="n">
        <f aca="false">IF(AJ2&gt;=Assumptions!$B$23,Assumptions!$B$24*(1+Assumptions!$B$25)^(AJ2-Assumptions!$B$23),0)</f>
        <v>43788.5260740564</v>
      </c>
      <c r="AK16" s="15" t="n">
        <f aca="false">IF(AK2&gt;=Assumptions!$B$23,Assumptions!$B$24*(1+Assumptions!$B$25)^(AK2-Assumptions!$B$23),0)</f>
        <v>49043.1492029431</v>
      </c>
    </row>
    <row r="17" customFormat="false" ht="15" hidden="false" customHeight="false" outlineLevel="0" collapsed="false">
      <c r="A17" s="16" t="s">
        <v>53</v>
      </c>
      <c r="B17" s="17" t="n">
        <f aca="false">SUM(B13:B16)</f>
        <v>399.5</v>
      </c>
      <c r="C17" s="17" t="n">
        <f aca="false">SUM(C13:C16)</f>
        <v>479.4</v>
      </c>
      <c r="D17" s="17" t="n">
        <f aca="false">SUM(D13:D16)</f>
        <v>575.28</v>
      </c>
      <c r="E17" s="17" t="n">
        <f aca="false">SUM(E13:E16)</f>
        <v>690.336</v>
      </c>
      <c r="F17" s="17" t="n">
        <f aca="false">SUM(F13:F16)</f>
        <v>828.563</v>
      </c>
      <c r="G17" s="17" t="n">
        <f aca="false">SUM(G13:G16)</f>
        <v>994.3555</v>
      </c>
      <c r="H17" s="17" t="n">
        <f aca="false">SUM(H13:H16)</f>
        <v>1143.369</v>
      </c>
      <c r="I17" s="17" t="n">
        <f aca="false">SUM(I13:I16)</f>
        <v>1314.7545</v>
      </c>
      <c r="J17" s="17" t="n">
        <f aca="false">SUM(J13:J16)</f>
        <v>1512.1075</v>
      </c>
      <c r="K17" s="17" t="n">
        <f aca="false">SUM(K13:K16)</f>
        <v>6739.0235</v>
      </c>
      <c r="L17" s="17" t="n">
        <f aca="false">SUM(L13:L16)</f>
        <v>7499.897</v>
      </c>
      <c r="M17" s="17" t="n">
        <f aca="false">SUM(M13:M16)</f>
        <v>8349.9215</v>
      </c>
      <c r="N17" s="17" t="n">
        <f aca="false">SUM(N13:N16)</f>
        <v>9300.0895</v>
      </c>
      <c r="O17" s="17" t="n">
        <f aca="false">SUM(O13:O16)</f>
        <v>10362.293</v>
      </c>
      <c r="P17" s="17" t="n">
        <f aca="false">SUM(P13:P16)</f>
        <v>11550.572</v>
      </c>
      <c r="Q17" s="17" t="n">
        <f aca="false">SUM(Q13:Q16)</f>
        <v>12880.3705</v>
      </c>
      <c r="R17" s="17" t="n">
        <f aca="false">SUM(R13:R16)</f>
        <v>14369.396</v>
      </c>
      <c r="S17" s="17" t="n">
        <f aca="false">SUM(S13:S16)</f>
        <v>16037.68605</v>
      </c>
      <c r="T17" s="17" t="n">
        <f aca="false">SUM(T13:T16)</f>
        <v>17641.614455</v>
      </c>
      <c r="U17" s="17" t="n">
        <f aca="false">SUM(U13:U16)</f>
        <v>27405.8558005</v>
      </c>
      <c r="V17" s="17" t="n">
        <f aca="false">SUM(V13:V16)</f>
        <v>30306.32153055</v>
      </c>
      <c r="W17" s="17" t="n">
        <f aca="false">SUM(W13:W16)</f>
        <v>33515.993883605</v>
      </c>
      <c r="X17" s="17" t="n">
        <f aca="false">SUM(X13:X16)</f>
        <v>37068.4570719655</v>
      </c>
      <c r="Y17" s="17" t="n">
        <f aca="false">SUM(Y13:Y16)</f>
        <v>41000.2510591621</v>
      </c>
      <c r="Z17" s="17" t="n">
        <f aca="false">SUM(Z13:Z16)</f>
        <v>45351.9993126783</v>
      </c>
      <c r="AA17" s="17" t="n">
        <f aca="false">SUM(AA13:AA16)</f>
        <v>50169.1739132581</v>
      </c>
      <c r="AB17" s="17" t="n">
        <f aca="false">SUM(AB13:AB16)</f>
        <v>55502.1026842134</v>
      </c>
      <c r="AC17" s="17" t="n">
        <f aca="false">SUM(AC13:AC16)</f>
        <v>61406.0219778197</v>
      </c>
      <c r="AD17" s="17" t="n">
        <f aca="false">SUM(AD13:AD16)</f>
        <v>67942.7782838088</v>
      </c>
      <c r="AE17" s="17" t="n">
        <f aca="false">SUM(AE13:AE16)</f>
        <v>75180.5889133818</v>
      </c>
      <c r="AF17" s="17" t="n">
        <f aca="false">SUM(AF13:AF16)</f>
        <v>83195.463668055</v>
      </c>
      <c r="AG17" s="17" t="n">
        <f aca="false">SUM(AG13:AG16)</f>
        <v>92071.4981337958</v>
      </c>
      <c r="AH17" s="17" t="n">
        <f aca="false">SUM(AH13:AH16)</f>
        <v>101902.044055983</v>
      </c>
      <c r="AI17" s="17" t="n">
        <f aca="false">SUM(AI13:AI16)</f>
        <v>112790.567159446</v>
      </c>
      <c r="AJ17" s="17" t="n">
        <f aca="false">SUM(AJ13:AJ16)</f>
        <v>124851.601790998</v>
      </c>
      <c r="AK17" s="17" t="n">
        <f aca="false">SUM(AK13:AK16)</f>
        <v>138212.612391579</v>
      </c>
    </row>
    <row r="19" customFormat="false" ht="15" hidden="false" customHeight="false" outlineLevel="0" collapsed="false">
      <c r="A19" s="2" t="s">
        <v>54</v>
      </c>
      <c r="B19" s="15" t="n">
        <f aca="false">CHOOSE(B3,Assumptions!$B$27,Assumptions!$B$28,Assumptions!$B$29)*Assumptions!$B$30/12</f>
        <v>45000</v>
      </c>
      <c r="C19" s="15" t="n">
        <f aca="false">CHOOSE(C3,Assumptions!$B$27,Assumptions!$B$28,Assumptions!$B$29)*Assumptions!$B$30/12</f>
        <v>45000</v>
      </c>
      <c r="D19" s="15" t="n">
        <f aca="false">CHOOSE(D3,Assumptions!$B$27,Assumptions!$B$28,Assumptions!$B$29)*Assumptions!$B$30/12</f>
        <v>45000</v>
      </c>
      <c r="E19" s="15" t="n">
        <f aca="false">CHOOSE(E3,Assumptions!$B$27,Assumptions!$B$28,Assumptions!$B$29)*Assumptions!$B$30/12</f>
        <v>45000</v>
      </c>
      <c r="F19" s="15" t="n">
        <f aca="false">CHOOSE(F3,Assumptions!$B$27,Assumptions!$B$28,Assumptions!$B$29)*Assumptions!$B$30/12</f>
        <v>45000</v>
      </c>
      <c r="G19" s="15" t="n">
        <f aca="false">CHOOSE(G3,Assumptions!$B$27,Assumptions!$B$28,Assumptions!$B$29)*Assumptions!$B$30/12</f>
        <v>45000</v>
      </c>
      <c r="H19" s="15" t="n">
        <f aca="false">CHOOSE(H3,Assumptions!$B$27,Assumptions!$B$28,Assumptions!$B$29)*Assumptions!$B$30/12</f>
        <v>75000</v>
      </c>
      <c r="I19" s="15" t="n">
        <f aca="false">CHOOSE(I3,Assumptions!$B$27,Assumptions!$B$28,Assumptions!$B$29)*Assumptions!$B$30/12</f>
        <v>75000</v>
      </c>
      <c r="J19" s="15" t="n">
        <f aca="false">CHOOSE(J3,Assumptions!$B$27,Assumptions!$B$28,Assumptions!$B$29)*Assumptions!$B$30/12</f>
        <v>75000</v>
      </c>
      <c r="K19" s="15" t="n">
        <f aca="false">CHOOSE(K3,Assumptions!$B$27,Assumptions!$B$28,Assumptions!$B$29)*Assumptions!$B$30/12</f>
        <v>75000</v>
      </c>
      <c r="L19" s="15" t="n">
        <f aca="false">CHOOSE(L3,Assumptions!$B$27,Assumptions!$B$28,Assumptions!$B$29)*Assumptions!$B$30/12</f>
        <v>75000</v>
      </c>
      <c r="M19" s="15" t="n">
        <f aca="false">CHOOSE(M3,Assumptions!$B$27,Assumptions!$B$28,Assumptions!$B$29)*Assumptions!$B$30/12</f>
        <v>75000</v>
      </c>
      <c r="N19" s="15" t="n">
        <f aca="false">CHOOSE(N3,Assumptions!$B$27,Assumptions!$B$28,Assumptions!$B$29)*Assumptions!$B$30/12</f>
        <v>75000</v>
      </c>
      <c r="O19" s="15" t="n">
        <f aca="false">CHOOSE(O3,Assumptions!$B$27,Assumptions!$B$28,Assumptions!$B$29)*Assumptions!$B$30/12</f>
        <v>75000</v>
      </c>
      <c r="P19" s="15" t="n">
        <f aca="false">CHOOSE(P3,Assumptions!$B$27,Assumptions!$B$28,Assumptions!$B$29)*Assumptions!$B$30/12</f>
        <v>75000</v>
      </c>
      <c r="Q19" s="15" t="n">
        <f aca="false">CHOOSE(Q3,Assumptions!$B$27,Assumptions!$B$28,Assumptions!$B$29)*Assumptions!$B$30/12</f>
        <v>75000</v>
      </c>
      <c r="R19" s="15" t="n">
        <f aca="false">CHOOSE(R3,Assumptions!$B$27,Assumptions!$B$28,Assumptions!$B$29)*Assumptions!$B$30/12</f>
        <v>75000</v>
      </c>
      <c r="S19" s="15" t="n">
        <f aca="false">CHOOSE(S3,Assumptions!$B$27,Assumptions!$B$28,Assumptions!$B$29)*Assumptions!$B$30/12</f>
        <v>75000</v>
      </c>
      <c r="T19" s="15" t="n">
        <f aca="false">CHOOSE(T3,Assumptions!$B$27,Assumptions!$B$28,Assumptions!$B$29)*Assumptions!$B$30/12</f>
        <v>135000</v>
      </c>
      <c r="U19" s="15" t="n">
        <f aca="false">CHOOSE(U3,Assumptions!$B$27,Assumptions!$B$28,Assumptions!$B$29)*Assumptions!$B$30/12</f>
        <v>135000</v>
      </c>
      <c r="V19" s="15" t="n">
        <f aca="false">CHOOSE(V3,Assumptions!$B$27,Assumptions!$B$28,Assumptions!$B$29)*Assumptions!$B$30/12</f>
        <v>135000</v>
      </c>
      <c r="W19" s="15" t="n">
        <f aca="false">CHOOSE(W3,Assumptions!$B$27,Assumptions!$B$28,Assumptions!$B$29)*Assumptions!$B$30/12</f>
        <v>135000</v>
      </c>
      <c r="X19" s="15" t="n">
        <f aca="false">CHOOSE(X3,Assumptions!$B$27,Assumptions!$B$28,Assumptions!$B$29)*Assumptions!$B$30/12</f>
        <v>135000</v>
      </c>
      <c r="Y19" s="15" t="n">
        <f aca="false">CHOOSE(Y3,Assumptions!$B$27,Assumptions!$B$28,Assumptions!$B$29)*Assumptions!$B$30/12</f>
        <v>135000</v>
      </c>
      <c r="Z19" s="15" t="n">
        <f aca="false">CHOOSE(Z3,Assumptions!$B$27,Assumptions!$B$28,Assumptions!$B$29)*Assumptions!$B$30/12</f>
        <v>135000</v>
      </c>
      <c r="AA19" s="15" t="n">
        <f aca="false">CHOOSE(AA3,Assumptions!$B$27,Assumptions!$B$28,Assumptions!$B$29)*Assumptions!$B$30/12</f>
        <v>135000</v>
      </c>
      <c r="AB19" s="15" t="n">
        <f aca="false">CHOOSE(AB3,Assumptions!$B$27,Assumptions!$B$28,Assumptions!$B$29)*Assumptions!$B$30/12</f>
        <v>135000</v>
      </c>
      <c r="AC19" s="15" t="n">
        <f aca="false">CHOOSE(AC3,Assumptions!$B$27,Assumptions!$B$28,Assumptions!$B$29)*Assumptions!$B$30/12</f>
        <v>135000</v>
      </c>
      <c r="AD19" s="15" t="n">
        <f aca="false">CHOOSE(AD3,Assumptions!$B$27,Assumptions!$B$28,Assumptions!$B$29)*Assumptions!$B$30/12</f>
        <v>135000</v>
      </c>
      <c r="AE19" s="15" t="n">
        <f aca="false">CHOOSE(AE3,Assumptions!$B$27,Assumptions!$B$28,Assumptions!$B$29)*Assumptions!$B$30/12</f>
        <v>135000</v>
      </c>
      <c r="AF19" s="15" t="n">
        <f aca="false">CHOOSE(AF3,Assumptions!$B$27,Assumptions!$B$28,Assumptions!$B$29)*Assumptions!$B$30/12</f>
        <v>135000</v>
      </c>
      <c r="AG19" s="15" t="n">
        <f aca="false">CHOOSE(AG3,Assumptions!$B$27,Assumptions!$B$28,Assumptions!$B$29)*Assumptions!$B$30/12</f>
        <v>135000</v>
      </c>
      <c r="AH19" s="15" t="n">
        <f aca="false">CHOOSE(AH3,Assumptions!$B$27,Assumptions!$B$28,Assumptions!$B$29)*Assumptions!$B$30/12</f>
        <v>135000</v>
      </c>
      <c r="AI19" s="15" t="n">
        <f aca="false">CHOOSE(AI3,Assumptions!$B$27,Assumptions!$B$28,Assumptions!$B$29)*Assumptions!$B$30/12</f>
        <v>135000</v>
      </c>
      <c r="AJ19" s="15" t="n">
        <f aca="false">CHOOSE(AJ3,Assumptions!$B$27,Assumptions!$B$28,Assumptions!$B$29)*Assumptions!$B$30/12</f>
        <v>135000</v>
      </c>
      <c r="AK19" s="15" t="n">
        <f aca="false">CHOOSE(AK3,Assumptions!$B$27,Assumptions!$B$28,Assumptions!$B$29)*Assumptions!$B$30/12</f>
        <v>135000</v>
      </c>
    </row>
    <row r="20" customFormat="false" ht="15" hidden="false" customHeight="false" outlineLevel="0" collapsed="false">
      <c r="A20" s="2" t="s">
        <v>55</v>
      </c>
      <c r="B20" s="15" t="n">
        <f aca="false">Assumptions!$B$31+B5*Assumptions!$B$32</f>
        <v>550</v>
      </c>
      <c r="C20" s="15" t="n">
        <f aca="false">Assumptions!$B$31+C5*Assumptions!$B$32</f>
        <v>560</v>
      </c>
      <c r="D20" s="15" t="n">
        <f aca="false">Assumptions!$B$31+D5*Assumptions!$B$32</f>
        <v>572</v>
      </c>
      <c r="E20" s="15" t="n">
        <f aca="false">Assumptions!$B$31+E5*Assumptions!$B$32</f>
        <v>586.4</v>
      </c>
      <c r="F20" s="15" t="n">
        <f aca="false">Assumptions!$B$31+F5*Assumptions!$B$32</f>
        <v>603.7</v>
      </c>
      <c r="G20" s="15" t="n">
        <f aca="false">Assumptions!$B$31+G5*Assumptions!$B$32</f>
        <v>624.45</v>
      </c>
      <c r="H20" s="15" t="n">
        <f aca="false">Assumptions!$B$31+H5*Assumptions!$B$32</f>
        <v>643.1</v>
      </c>
      <c r="I20" s="15" t="n">
        <f aca="false">Assumptions!$B$31+I5*Assumptions!$B$32</f>
        <v>664.55</v>
      </c>
      <c r="J20" s="15" t="n">
        <f aca="false">Assumptions!$B$31+J5*Assumptions!$B$32</f>
        <v>689.25</v>
      </c>
      <c r="K20" s="15" t="n">
        <f aca="false">Assumptions!$B$31+K5*Assumptions!$B$32</f>
        <v>717.65</v>
      </c>
      <c r="L20" s="15" t="n">
        <f aca="false">Assumptions!$B$31+L5*Assumptions!$B$32</f>
        <v>750.3</v>
      </c>
      <c r="M20" s="15" t="n">
        <f aca="false">Assumptions!$B$31+M5*Assumptions!$B$32</f>
        <v>787.85</v>
      </c>
      <c r="N20" s="15" t="n">
        <f aca="false">Assumptions!$B$31+N5*Assumptions!$B$32</f>
        <v>831.05</v>
      </c>
      <c r="O20" s="15" t="n">
        <f aca="false">Assumptions!$B$31+O5*Assumptions!$B$32</f>
        <v>880.7</v>
      </c>
      <c r="P20" s="15" t="n">
        <f aca="false">Assumptions!$B$31+P5*Assumptions!$B$32</f>
        <v>937.8</v>
      </c>
      <c r="Q20" s="15" t="n">
        <f aca="false">Assumptions!$B$31+Q5*Assumptions!$B$32</f>
        <v>1003.45</v>
      </c>
      <c r="R20" s="15" t="n">
        <f aca="false">Assumptions!$B$31+R5*Assumptions!$B$32</f>
        <v>1078.95</v>
      </c>
      <c r="S20" s="15" t="n">
        <f aca="false">Assumptions!$B$31+S5*Assumptions!$B$32</f>
        <v>1165.8</v>
      </c>
      <c r="T20" s="15" t="n">
        <f aca="false">Assumptions!$B$31+T5*Assumptions!$B$32</f>
        <v>1232.4</v>
      </c>
      <c r="U20" s="15" t="n">
        <f aca="false">Assumptions!$B$31+U5*Assumptions!$B$32</f>
        <v>1305.65</v>
      </c>
      <c r="V20" s="15" t="n">
        <f aca="false">Assumptions!$B$31+V5*Assumptions!$B$32</f>
        <v>1386.2</v>
      </c>
      <c r="W20" s="15" t="n">
        <f aca="false">Assumptions!$B$31+W5*Assumptions!$B$32</f>
        <v>1474.8</v>
      </c>
      <c r="X20" s="15" t="n">
        <f aca="false">Assumptions!$B$31+X5*Assumptions!$B$32</f>
        <v>1572.3</v>
      </c>
      <c r="Y20" s="15" t="n">
        <f aca="false">Assumptions!$B$31+Y5*Assumptions!$B$32</f>
        <v>1679.55</v>
      </c>
      <c r="Z20" s="15" t="n">
        <f aca="false">Assumptions!$B$31+Z5*Assumptions!$B$32</f>
        <v>1797.5</v>
      </c>
      <c r="AA20" s="15" t="n">
        <f aca="false">Assumptions!$B$31+AA5*Assumptions!$B$32</f>
        <v>1927.25</v>
      </c>
      <c r="AB20" s="15" t="n">
        <f aca="false">Assumptions!$B$31+AB5*Assumptions!$B$32</f>
        <v>2070</v>
      </c>
      <c r="AC20" s="15" t="n">
        <f aca="false">Assumptions!$B$31+AC5*Assumptions!$B$32</f>
        <v>2227</v>
      </c>
      <c r="AD20" s="15" t="n">
        <f aca="false">Assumptions!$B$31+AD5*Assumptions!$B$32</f>
        <v>2399.7</v>
      </c>
      <c r="AE20" s="15" t="n">
        <f aca="false">Assumptions!$B$31+AE5*Assumptions!$B$32</f>
        <v>2589.65</v>
      </c>
      <c r="AF20" s="15" t="n">
        <f aca="false">Assumptions!$B$31+AF5*Assumptions!$B$32</f>
        <v>2798.6</v>
      </c>
      <c r="AG20" s="15" t="n">
        <f aca="false">Assumptions!$B$31+AG5*Assumptions!$B$32</f>
        <v>3028.45</v>
      </c>
      <c r="AH20" s="15" t="n">
        <f aca="false">Assumptions!$B$31+AH5*Assumptions!$B$32</f>
        <v>3281.3</v>
      </c>
      <c r="AI20" s="15" t="n">
        <f aca="false">Assumptions!$B$31+AI5*Assumptions!$B$32</f>
        <v>3559.45</v>
      </c>
      <c r="AJ20" s="15" t="n">
        <f aca="false">Assumptions!$B$31+AJ5*Assumptions!$B$32</f>
        <v>3865.4</v>
      </c>
      <c r="AK20" s="15" t="n">
        <f aca="false">Assumptions!$B$31+AK5*Assumptions!$B$32</f>
        <v>4201.95</v>
      </c>
    </row>
    <row r="21" customFormat="false" ht="15" hidden="false" customHeight="false" outlineLevel="0" collapsed="false">
      <c r="A21" s="2" t="s">
        <v>56</v>
      </c>
      <c r="B21" s="15" t="n">
        <f aca="false">B6*Assumptions!$B$33</f>
        <v>4000</v>
      </c>
      <c r="C21" s="15" t="n">
        <f aca="false">C6*Assumptions!$B$33</f>
        <v>800</v>
      </c>
      <c r="D21" s="15" t="n">
        <f aca="false">D6*Assumptions!$B$33</f>
        <v>960</v>
      </c>
      <c r="E21" s="15" t="n">
        <f aca="false">E6*Assumptions!$B$33</f>
        <v>1152</v>
      </c>
      <c r="F21" s="15" t="n">
        <f aca="false">F6*Assumptions!$B$33</f>
        <v>1384</v>
      </c>
      <c r="G21" s="15" t="n">
        <f aca="false">G6*Assumptions!$B$33</f>
        <v>1660</v>
      </c>
      <c r="H21" s="15" t="n">
        <f aca="false">H6*Assumptions!$B$33</f>
        <v>1492</v>
      </c>
      <c r="I21" s="15" t="n">
        <f aca="false">I6*Assumptions!$B$33</f>
        <v>1716</v>
      </c>
      <c r="J21" s="15" t="n">
        <f aca="false">J6*Assumptions!$B$33</f>
        <v>1976</v>
      </c>
      <c r="K21" s="15" t="n">
        <f aca="false">K6*Assumptions!$B$33</f>
        <v>2272</v>
      </c>
      <c r="L21" s="15" t="n">
        <f aca="false">L6*Assumptions!$B$33</f>
        <v>2612</v>
      </c>
      <c r="M21" s="15" t="n">
        <f aca="false">M6*Assumptions!$B$33</f>
        <v>3004</v>
      </c>
      <c r="N21" s="15" t="n">
        <f aca="false">N6*Assumptions!$B$33</f>
        <v>3456</v>
      </c>
      <c r="O21" s="15" t="n">
        <f aca="false">O6*Assumptions!$B$33</f>
        <v>3972</v>
      </c>
      <c r="P21" s="15" t="n">
        <f aca="false">P6*Assumptions!$B$33</f>
        <v>4568</v>
      </c>
      <c r="Q21" s="15" t="n">
        <f aca="false">Q6*Assumptions!$B$33</f>
        <v>5252</v>
      </c>
      <c r="R21" s="15" t="n">
        <f aca="false">R6*Assumptions!$B$33</f>
        <v>6040</v>
      </c>
      <c r="S21" s="15" t="n">
        <f aca="false">S6*Assumptions!$B$33</f>
        <v>6948</v>
      </c>
      <c r="T21" s="15" t="n">
        <f aca="false">T6*Assumptions!$B$33</f>
        <v>5328</v>
      </c>
      <c r="U21" s="15" t="n">
        <f aca="false">U6*Assumptions!$B$33</f>
        <v>5860</v>
      </c>
      <c r="V21" s="15" t="n">
        <f aca="false">V6*Assumptions!$B$33</f>
        <v>6444</v>
      </c>
      <c r="W21" s="15" t="n">
        <f aca="false">W6*Assumptions!$B$33</f>
        <v>7088</v>
      </c>
      <c r="X21" s="15" t="n">
        <f aca="false">X6*Assumptions!$B$33</f>
        <v>7800</v>
      </c>
      <c r="Y21" s="15" t="n">
        <f aca="false">Y6*Assumptions!$B$33</f>
        <v>8580</v>
      </c>
      <c r="Z21" s="15" t="n">
        <f aca="false">Z6*Assumptions!$B$33</f>
        <v>9436</v>
      </c>
      <c r="AA21" s="15" t="n">
        <f aca="false">AA6*Assumptions!$B$33</f>
        <v>10380</v>
      </c>
      <c r="AB21" s="15" t="n">
        <f aca="false">AB6*Assumptions!$B$33</f>
        <v>11420</v>
      </c>
      <c r="AC21" s="15" t="n">
        <f aca="false">AC6*Assumptions!$B$33</f>
        <v>12560</v>
      </c>
      <c r="AD21" s="15" t="n">
        <f aca="false">AD6*Assumptions!$B$33</f>
        <v>13816</v>
      </c>
      <c r="AE21" s="15" t="n">
        <f aca="false">AE6*Assumptions!$B$33</f>
        <v>15196</v>
      </c>
      <c r="AF21" s="15" t="n">
        <f aca="false">AF6*Assumptions!$B$33</f>
        <v>16716</v>
      </c>
      <c r="AG21" s="15" t="n">
        <f aca="false">AG6*Assumptions!$B$33</f>
        <v>18388</v>
      </c>
      <c r="AH21" s="15" t="n">
        <f aca="false">AH6*Assumptions!$B$33</f>
        <v>20228</v>
      </c>
      <c r="AI21" s="15" t="n">
        <f aca="false">AI6*Assumptions!$B$33</f>
        <v>22252</v>
      </c>
      <c r="AJ21" s="15" t="n">
        <f aca="false">AJ6*Assumptions!$B$33</f>
        <v>24476</v>
      </c>
      <c r="AK21" s="15" t="n">
        <f aca="false">AK6*Assumptions!$B$33</f>
        <v>26924</v>
      </c>
    </row>
    <row r="22" customFormat="false" ht="15" hidden="false" customHeight="false" outlineLevel="0" collapsed="false">
      <c r="A22" s="2" t="s">
        <v>57</v>
      </c>
      <c r="B22" s="15" t="n">
        <f aca="false">Assumptions!$B$34+B17*Assumptions!$B$35</f>
        <v>2019.975</v>
      </c>
      <c r="C22" s="15" t="n">
        <f aca="false">Assumptions!$B$34+C17*Assumptions!$B$35</f>
        <v>2023.97</v>
      </c>
      <c r="D22" s="15" t="n">
        <f aca="false">Assumptions!$B$34+D17*Assumptions!$B$35</f>
        <v>2028.764</v>
      </c>
      <c r="E22" s="15" t="n">
        <f aca="false">Assumptions!$B$34+E17*Assumptions!$B$35</f>
        <v>2034.5168</v>
      </c>
      <c r="F22" s="15" t="n">
        <f aca="false">Assumptions!$B$34+F17*Assumptions!$B$35</f>
        <v>2041.42815</v>
      </c>
      <c r="G22" s="15" t="n">
        <f aca="false">Assumptions!$B$34+G17*Assumptions!$B$35</f>
        <v>2049.717775</v>
      </c>
      <c r="H22" s="15" t="n">
        <f aca="false">Assumptions!$B$34+H17*Assumptions!$B$35</f>
        <v>2057.16845</v>
      </c>
      <c r="I22" s="15" t="n">
        <f aca="false">Assumptions!$B$34+I17*Assumptions!$B$35</f>
        <v>2065.737725</v>
      </c>
      <c r="J22" s="15" t="n">
        <f aca="false">Assumptions!$B$34+J17*Assumptions!$B$35</f>
        <v>2075.605375</v>
      </c>
      <c r="K22" s="15" t="n">
        <f aca="false">Assumptions!$B$34+K17*Assumptions!$B$35</f>
        <v>2336.951175</v>
      </c>
      <c r="L22" s="15" t="n">
        <f aca="false">Assumptions!$B$34+L17*Assumptions!$B$35</f>
        <v>2374.99485</v>
      </c>
      <c r="M22" s="15" t="n">
        <f aca="false">Assumptions!$B$34+M17*Assumptions!$B$35</f>
        <v>2417.496075</v>
      </c>
      <c r="N22" s="15" t="n">
        <f aca="false">Assumptions!$B$34+N17*Assumptions!$B$35</f>
        <v>2465.004475</v>
      </c>
      <c r="O22" s="15" t="n">
        <f aca="false">Assumptions!$B$34+O17*Assumptions!$B$35</f>
        <v>2518.11465</v>
      </c>
      <c r="P22" s="15" t="n">
        <f aca="false">Assumptions!$B$34+P17*Assumptions!$B$35</f>
        <v>2577.5286</v>
      </c>
      <c r="Q22" s="15" t="n">
        <f aca="false">Assumptions!$B$34+Q17*Assumptions!$B$35</f>
        <v>2644.018525</v>
      </c>
      <c r="R22" s="15" t="n">
        <f aca="false">Assumptions!$B$34+R17*Assumptions!$B$35</f>
        <v>2718.4698</v>
      </c>
      <c r="S22" s="15" t="n">
        <f aca="false">Assumptions!$B$34+S17*Assumptions!$B$35</f>
        <v>2801.8843025</v>
      </c>
      <c r="T22" s="15" t="n">
        <f aca="false">Assumptions!$B$34+T17*Assumptions!$B$35</f>
        <v>2882.08072275</v>
      </c>
      <c r="U22" s="15" t="n">
        <f aca="false">Assumptions!$B$34+U17*Assumptions!$B$35</f>
        <v>3370.292790025</v>
      </c>
      <c r="V22" s="15" t="n">
        <f aca="false">Assumptions!$B$34+V17*Assumptions!$B$35</f>
        <v>3515.3160765275</v>
      </c>
      <c r="W22" s="15" t="n">
        <f aca="false">Assumptions!$B$34+W17*Assumptions!$B$35</f>
        <v>3675.79969418025</v>
      </c>
      <c r="X22" s="15" t="n">
        <f aca="false">Assumptions!$B$34+X17*Assumptions!$B$35</f>
        <v>3853.42285359828</v>
      </c>
      <c r="Y22" s="15" t="n">
        <f aca="false">Assumptions!$B$34+Y17*Assumptions!$B$35</f>
        <v>4050.0125529581</v>
      </c>
      <c r="Z22" s="15" t="n">
        <f aca="false">Assumptions!$B$34+Z17*Assumptions!$B$35</f>
        <v>4267.59996563391</v>
      </c>
      <c r="AA22" s="15" t="n">
        <f aca="false">Assumptions!$B$34+AA17*Assumptions!$B$35</f>
        <v>4508.45869566291</v>
      </c>
      <c r="AB22" s="15" t="n">
        <f aca="false">Assumptions!$B$34+AB17*Assumptions!$B$35</f>
        <v>4775.10513421067</v>
      </c>
      <c r="AC22" s="15" t="n">
        <f aca="false">Assumptions!$B$34+AC17*Assumptions!$B$35</f>
        <v>5070.30109889099</v>
      </c>
      <c r="AD22" s="15" t="n">
        <f aca="false">Assumptions!$B$34+AD17*Assumptions!$B$35</f>
        <v>5397.13891419044</v>
      </c>
      <c r="AE22" s="15" t="n">
        <f aca="false">Assumptions!$B$34+AE17*Assumptions!$B$35</f>
        <v>5759.02944566909</v>
      </c>
      <c r="AF22" s="15" t="n">
        <f aca="false">Assumptions!$B$34+AF17*Assumptions!$B$35</f>
        <v>6159.77318340275</v>
      </c>
      <c r="AG22" s="15" t="n">
        <f aca="false">Assumptions!$B$34+AG17*Assumptions!$B$35</f>
        <v>6603.57490668979</v>
      </c>
      <c r="AH22" s="15" t="n">
        <f aca="false">Assumptions!$B$34+AH17*Assumptions!$B$35</f>
        <v>7095.10220279915</v>
      </c>
      <c r="AI22" s="15" t="n">
        <f aca="false">Assumptions!$B$34+AI17*Assumptions!$B$35</f>
        <v>7639.52835797228</v>
      </c>
      <c r="AJ22" s="15" t="n">
        <f aca="false">Assumptions!$B$34+AJ17*Assumptions!$B$35</f>
        <v>8242.58008954992</v>
      </c>
      <c r="AK22" s="15" t="n">
        <f aca="false">Assumptions!$B$34+AK17*Assumptions!$B$35</f>
        <v>8910.63061957897</v>
      </c>
    </row>
    <row r="23" customFormat="false" ht="15" hidden="false" customHeight="false" outlineLevel="0" collapsed="false">
      <c r="A23" s="16" t="s">
        <v>58</v>
      </c>
      <c r="B23" s="17" t="n">
        <f aca="false">SUM(B19:B22)</f>
        <v>51569.975</v>
      </c>
      <c r="C23" s="17" t="n">
        <f aca="false">SUM(C19:C22)</f>
        <v>48383.97</v>
      </c>
      <c r="D23" s="17" t="n">
        <f aca="false">SUM(D19:D22)</f>
        <v>48560.764</v>
      </c>
      <c r="E23" s="17" t="n">
        <f aca="false">SUM(E19:E22)</f>
        <v>48772.9168</v>
      </c>
      <c r="F23" s="17" t="n">
        <f aca="false">SUM(F19:F22)</f>
        <v>49029.12815</v>
      </c>
      <c r="G23" s="17" t="n">
        <f aca="false">SUM(G19:G22)</f>
        <v>49334.167775</v>
      </c>
      <c r="H23" s="17" t="n">
        <f aca="false">SUM(H19:H22)</f>
        <v>79192.26845</v>
      </c>
      <c r="I23" s="17" t="n">
        <f aca="false">SUM(I19:I22)</f>
        <v>79446.287725</v>
      </c>
      <c r="J23" s="17" t="n">
        <f aca="false">SUM(J19:J22)</f>
        <v>79740.855375</v>
      </c>
      <c r="K23" s="17" t="n">
        <f aca="false">SUM(K19:K22)</f>
        <v>80326.601175</v>
      </c>
      <c r="L23" s="17" t="n">
        <f aca="false">SUM(L19:L22)</f>
        <v>80737.29485</v>
      </c>
      <c r="M23" s="17" t="n">
        <f aca="false">SUM(M19:M22)</f>
        <v>81209.346075</v>
      </c>
      <c r="N23" s="17" t="n">
        <f aca="false">SUM(N19:N22)</f>
        <v>81752.054475</v>
      </c>
      <c r="O23" s="17" t="n">
        <f aca="false">SUM(O19:O22)</f>
        <v>82370.81465</v>
      </c>
      <c r="P23" s="17" t="n">
        <f aca="false">SUM(P19:P22)</f>
        <v>83083.3286</v>
      </c>
      <c r="Q23" s="17" t="n">
        <f aca="false">SUM(Q19:Q22)</f>
        <v>83899.468525</v>
      </c>
      <c r="R23" s="17" t="n">
        <f aca="false">SUM(R19:R22)</f>
        <v>84837.4198</v>
      </c>
      <c r="S23" s="17" t="n">
        <f aca="false">SUM(S19:S22)</f>
        <v>85915.6843025</v>
      </c>
      <c r="T23" s="17" t="n">
        <f aca="false">SUM(T19:T22)</f>
        <v>144442.48072275</v>
      </c>
      <c r="U23" s="17" t="n">
        <f aca="false">SUM(U19:U22)</f>
        <v>145535.942790025</v>
      </c>
      <c r="V23" s="17" t="n">
        <f aca="false">SUM(V19:V22)</f>
        <v>146345.516076528</v>
      </c>
      <c r="W23" s="17" t="n">
        <f aca="false">SUM(W19:W22)</f>
        <v>147238.59969418</v>
      </c>
      <c r="X23" s="17" t="n">
        <f aca="false">SUM(X19:X22)</f>
        <v>148225.722853598</v>
      </c>
      <c r="Y23" s="17" t="n">
        <f aca="false">SUM(Y19:Y22)</f>
        <v>149309.562552958</v>
      </c>
      <c r="Z23" s="17" t="n">
        <f aca="false">SUM(Z19:Z22)</f>
        <v>150501.099965634</v>
      </c>
      <c r="AA23" s="17" t="n">
        <f aca="false">SUM(AA19:AA22)</f>
        <v>151815.708695663</v>
      </c>
      <c r="AB23" s="17" t="n">
        <f aca="false">SUM(AB19:AB22)</f>
        <v>153265.105134211</v>
      </c>
      <c r="AC23" s="17" t="n">
        <f aca="false">SUM(AC19:AC22)</f>
        <v>154857.301098891</v>
      </c>
      <c r="AD23" s="17" t="n">
        <f aca="false">SUM(AD19:AD22)</f>
        <v>156612.83891419</v>
      </c>
      <c r="AE23" s="17" t="n">
        <f aca="false">SUM(AE19:AE22)</f>
        <v>158544.679445669</v>
      </c>
      <c r="AF23" s="17" t="n">
        <f aca="false">SUM(AF19:AF22)</f>
        <v>160674.373183403</v>
      </c>
      <c r="AG23" s="17" t="n">
        <f aca="false">SUM(AG19:AG22)</f>
        <v>163020.02490669</v>
      </c>
      <c r="AH23" s="17" t="n">
        <f aca="false">SUM(AH19:AH22)</f>
        <v>165604.402202799</v>
      </c>
      <c r="AI23" s="17" t="n">
        <f aca="false">SUM(AI19:AI22)</f>
        <v>168450.978357972</v>
      </c>
      <c r="AJ23" s="17" t="n">
        <f aca="false">SUM(AJ19:AJ22)</f>
        <v>171583.98008955</v>
      </c>
      <c r="AK23" s="17" t="n">
        <f aca="false">SUM(AK19:AK22)</f>
        <v>175036.580619579</v>
      </c>
    </row>
    <row r="25" customFormat="false" ht="15" hidden="false" customHeight="false" outlineLevel="0" collapsed="false">
      <c r="A25" s="16" t="s">
        <v>59</v>
      </c>
      <c r="B25" s="17" t="n">
        <f aca="false">B17-B11-B23</f>
        <v>-58838.475</v>
      </c>
      <c r="C25" s="17" t="n">
        <f aca="false">C17-C11-C23</f>
        <v>-57106.17</v>
      </c>
      <c r="D25" s="17" t="n">
        <f aca="false">D17-D11-D23</f>
        <v>-59027.404</v>
      </c>
      <c r="E25" s="17" t="n">
        <f aca="false">E17-E11-E23</f>
        <v>-61332.8848</v>
      </c>
      <c r="F25" s="17" t="n">
        <f aca="false">F17-F11-F23</f>
        <v>-64103.99715</v>
      </c>
      <c r="G25" s="17" t="n">
        <f aca="false">G17-G11-G23</f>
        <v>-67425.464275</v>
      </c>
      <c r="H25" s="17" t="n">
        <f aca="false">H17-H11-H23</f>
        <v>-99994.71545</v>
      </c>
      <c r="I25" s="17" t="n">
        <f aca="false">I17-I11-I23</f>
        <v>-103366.921225</v>
      </c>
      <c r="J25" s="17" t="n">
        <f aca="false">J17-J11-J23</f>
        <v>-107252.127875</v>
      </c>
      <c r="K25" s="17" t="n">
        <f aca="false">K17-K11-K23</f>
        <v>-106966.381675</v>
      </c>
      <c r="L25" s="17" t="n">
        <f aca="false">L17-L11-L23</f>
        <v>-82833.89985</v>
      </c>
      <c r="M25" s="17" t="n">
        <f aca="false">M17-M11-M23</f>
        <v>-83895.593575</v>
      </c>
      <c r="N25" s="17" t="n">
        <f aca="false">N17-N11-N23</f>
        <v>-85144.421975</v>
      </c>
      <c r="O25" s="17" t="n">
        <f aca="false">O17-O11-O23</f>
        <v>-86604.55965</v>
      </c>
      <c r="P25" s="17" t="n">
        <f aca="false">P17-P11-P23</f>
        <v>-88318.0086</v>
      </c>
      <c r="Q25" s="17" t="n">
        <f aca="false">Q17-Q11-Q23</f>
        <v>-90321.371025</v>
      </c>
      <c r="R25" s="17" t="n">
        <f aca="false">R17-R11-R23</f>
        <v>-92664.9668</v>
      </c>
      <c r="S25" s="17" t="n">
        <f aca="false">S17-S11-S23</f>
        <v>-95404.7702525</v>
      </c>
      <c r="T25" s="17" t="n">
        <f aca="false">T17-T11-T23</f>
        <v>-154881.08226775</v>
      </c>
      <c r="U25" s="17" t="n">
        <f aca="false">U17-U11-U23</f>
        <v>-149018.707989525</v>
      </c>
      <c r="V25" s="17" t="n">
        <f aca="false">V17-V11-V23</f>
        <v>-150016.102545978</v>
      </c>
      <c r="W25" s="17" t="n">
        <f aca="false">W17-W11-W23</f>
        <v>-151096.437810575</v>
      </c>
      <c r="X25" s="17" t="n">
        <f aca="false">X17-X11-X23</f>
        <v>-152269.247781633</v>
      </c>
      <c r="Y25" s="17" t="n">
        <f aca="false">Y17-Y11-Y23</f>
        <v>-153533.258493796</v>
      </c>
      <c r="Z25" s="17" t="n">
        <f aca="false">Z17-Z11-Z23</f>
        <v>-154895.250652956</v>
      </c>
      <c r="AA25" s="17" t="n">
        <f aca="false">AA17-AA11-AA23</f>
        <v>-156367.299782405</v>
      </c>
      <c r="AB25" s="17" t="n">
        <f aca="false">AB17-AB11-AB23</f>
        <v>-157956.802449997</v>
      </c>
      <c r="AC25" s="17" t="n">
        <f aca="false">AC17-AC11-AC23</f>
        <v>-159664.459121071</v>
      </c>
      <c r="AD25" s="17" t="n">
        <f aca="false">AD17-AD11-AD23</f>
        <v>-161504.558630382</v>
      </c>
      <c r="AE25" s="17" t="n">
        <f aca="false">AE17-AE11-AE23</f>
        <v>-163481.271532287</v>
      </c>
      <c r="AF25" s="17" t="n">
        <f aca="false">AF17-AF11-AF23</f>
        <v>-165607.233515348</v>
      </c>
      <c r="AG25" s="17" t="n">
        <f aca="false">AG17-AG11-AG23</f>
        <v>-109724.835972894</v>
      </c>
      <c r="AH25" s="17" t="n">
        <f aca="false">AH17-AH11-AH23</f>
        <v>-106356.374946816</v>
      </c>
      <c r="AI25" s="17" t="n">
        <f aca="false">AI17-AI11-AI23</f>
        <v>-102580.136398527</v>
      </c>
      <c r="AJ25" s="17" t="n">
        <f aca="false">AJ17-AJ11-AJ23</f>
        <v>-98344.1526985516</v>
      </c>
      <c r="AK25" s="17" t="n">
        <f aca="false">AK17-AK11-AK23</f>
        <v>-93597.0734279997</v>
      </c>
    </row>
    <row r="26" customFormat="false" ht="15" hidden="false" customHeight="false" outlineLevel="0" collapsed="false">
      <c r="A26" s="16" t="s">
        <v>60</v>
      </c>
      <c r="B26" s="17" t="n">
        <f aca="false">Assumptions!$B$37+B25</f>
        <v>1941161.525</v>
      </c>
      <c r="C26" s="17" t="n">
        <f aca="false">B26+C25</f>
        <v>1884055.355</v>
      </c>
      <c r="D26" s="17" t="n">
        <f aca="false">C26+D25</f>
        <v>1825027.951</v>
      </c>
      <c r="E26" s="17" t="n">
        <f aca="false">D26+E25</f>
        <v>1763695.0662</v>
      </c>
      <c r="F26" s="17" t="n">
        <f aca="false">E26+F25</f>
        <v>1699591.06905</v>
      </c>
      <c r="G26" s="17" t="n">
        <f aca="false">F26+G25</f>
        <v>1632165.604775</v>
      </c>
      <c r="H26" s="17" t="n">
        <f aca="false">G26+H25</f>
        <v>1532170.889325</v>
      </c>
      <c r="I26" s="17" t="n">
        <f aca="false">H26+I25</f>
        <v>1428803.9681</v>
      </c>
      <c r="J26" s="17" t="n">
        <f aca="false">I26+J25</f>
        <v>1321551.840225</v>
      </c>
      <c r="K26" s="17" t="n">
        <f aca="false">J26+K25</f>
        <v>1214585.45855</v>
      </c>
      <c r="L26" s="17" t="n">
        <f aca="false">K26+L25</f>
        <v>1131751.5587</v>
      </c>
      <c r="M26" s="17" t="n">
        <f aca="false">L26+M25</f>
        <v>1047855.965125</v>
      </c>
      <c r="N26" s="17" t="n">
        <f aca="false">M26+N25</f>
        <v>962711.54315</v>
      </c>
      <c r="O26" s="17" t="n">
        <f aca="false">N26+O25</f>
        <v>876106.9835</v>
      </c>
      <c r="P26" s="17" t="n">
        <f aca="false">O26+P25</f>
        <v>787788.9749</v>
      </c>
      <c r="Q26" s="17" t="n">
        <f aca="false">P26+Q25</f>
        <v>697467.603875</v>
      </c>
      <c r="R26" s="17" t="n">
        <f aca="false">Q26+R25</f>
        <v>604802.637075</v>
      </c>
      <c r="S26" s="17" t="n">
        <f aca="false">R26+S25</f>
        <v>509397.8668225</v>
      </c>
      <c r="T26" s="17" t="n">
        <f aca="false">S26+T25</f>
        <v>354516.78455475</v>
      </c>
      <c r="U26" s="17" t="n">
        <f aca="false">T26+U25</f>
        <v>205498.076565225</v>
      </c>
      <c r="V26" s="17" t="n">
        <f aca="false">U26+V25</f>
        <v>55481.9740192478</v>
      </c>
      <c r="W26" s="17" t="n">
        <f aca="false">V26+W25</f>
        <v>-95614.4637913275</v>
      </c>
      <c r="X26" s="17" t="n">
        <f aca="false">W26+X25</f>
        <v>-247883.71157296</v>
      </c>
      <c r="Y26" s="17" t="n">
        <f aca="false">X26+Y25</f>
        <v>-401416.970066756</v>
      </c>
      <c r="Z26" s="17" t="n">
        <f aca="false">Y26+Z25</f>
        <v>-556312.220719712</v>
      </c>
      <c r="AA26" s="17" t="n">
        <f aca="false">Z26+AA25</f>
        <v>-712679.520502117</v>
      </c>
      <c r="AB26" s="17" t="n">
        <f aca="false">AA26+AB25</f>
        <v>-870636.322952114</v>
      </c>
      <c r="AC26" s="17" t="n">
        <f aca="false">AB26+AC25</f>
        <v>-1030300.78207319</v>
      </c>
      <c r="AD26" s="17" t="n">
        <f aca="false">AC26+AD25</f>
        <v>-1191805.34070357</v>
      </c>
      <c r="AE26" s="17" t="n">
        <f aca="false">AD26+AE25</f>
        <v>-1355286.61223585</v>
      </c>
      <c r="AF26" s="17" t="n">
        <f aca="false">AE26+AF25</f>
        <v>-1520893.8457512</v>
      </c>
      <c r="AG26" s="17" t="n">
        <f aca="false">AF26+AG25</f>
        <v>-1630618.6817241</v>
      </c>
      <c r="AH26" s="17" t="n">
        <f aca="false">AG26+AH25</f>
        <v>-1736975.05667091</v>
      </c>
      <c r="AI26" s="17" t="n">
        <f aca="false">AH26+AI25</f>
        <v>-1839555.19306944</v>
      </c>
      <c r="AJ26" s="17" t="n">
        <f aca="false">AI26+AJ25</f>
        <v>-1937899.34576799</v>
      </c>
      <c r="AK26" s="17" t="n">
        <f aca="false">AJ26+AK25</f>
        <v>-2031496.41919599</v>
      </c>
    </row>
    <row r="28" customFormat="false" ht="15" hidden="false" customHeight="false" outlineLevel="0" collapsed="false">
      <c r="A28" s="2" t="s">
        <v>61</v>
      </c>
      <c r="B28" s="18" t="n">
        <f aca="false">IF(B11=0,0,B17/B11)</f>
        <v>0.0520996348461137</v>
      </c>
      <c r="C28" s="18" t="n">
        <f aca="false">IF(C11=0,0,C17/C11)</f>
        <v>0.0520996348461137</v>
      </c>
      <c r="D28" s="18" t="n">
        <f aca="false">IF(D11=0,0,D17/D11)</f>
        <v>0.0520996348461137</v>
      </c>
      <c r="E28" s="18" t="n">
        <f aca="false">IF(E11=0,0,E17/E11)</f>
        <v>0.0520996348461137</v>
      </c>
      <c r="F28" s="18" t="n">
        <f aca="false">IF(F11=0,0,F17/F11)</f>
        <v>0.0520996348461137</v>
      </c>
      <c r="G28" s="18" t="n">
        <f aca="false">IF(G11=0,0,G17/G11)</f>
        <v>0.0520996348461137</v>
      </c>
      <c r="H28" s="18" t="n">
        <f aca="false">IF(H11=0,0,H17/H11)</f>
        <v>0.0520996348461137</v>
      </c>
      <c r="I28" s="18" t="n">
        <f aca="false">IF(I11=0,0,I17/I11)</f>
        <v>0.0520996348461137</v>
      </c>
      <c r="J28" s="18" t="n">
        <f aca="false">IF(J11=0,0,J17/J11)</f>
        <v>0.0520996348461137</v>
      </c>
      <c r="K28" s="18" t="n">
        <f aca="false">IF(K11=0,0,K17/K11)</f>
        <v>0.201895295589381</v>
      </c>
      <c r="L28" s="18" t="n">
        <f aca="false">IF(L11=0,0,L17/L11)</f>
        <v>0.781524038654918</v>
      </c>
      <c r="M28" s="18" t="n">
        <f aca="false">IF(M11=0,0,M17/M11)</f>
        <v>0.756596016244405</v>
      </c>
      <c r="N28" s="18" t="n">
        <f aca="false">IF(N11=0,0,N17/N11)</f>
        <v>0.73272570472368</v>
      </c>
      <c r="O28" s="18" t="n">
        <f aca="false">IF(O11=0,0,O17/O11)</f>
        <v>0.709938751872255</v>
      </c>
      <c r="P28" s="18" t="n">
        <f aca="false">IF(P11=0,0,P17/P11)</f>
        <v>0.688138134595775</v>
      </c>
      <c r="Q28" s="18" t="n">
        <f aca="false">IF(Q11=0,0,Q17/Q11)</f>
        <v>0.667298120796447</v>
      </c>
      <c r="R28" s="18" t="n">
        <f aca="false">IF(R11=0,0,R17/R11)</f>
        <v>0.647359233206123</v>
      </c>
      <c r="S28" s="18" t="n">
        <f aca="false">IF(S11=0,0,S17/S11)</f>
        <v>0.628269255901216</v>
      </c>
      <c r="T28" s="18" t="n">
        <f aca="false">IF(T11=0,0,T17/T11)</f>
        <v>0.628257790289078</v>
      </c>
      <c r="U28" s="18" t="n">
        <f aca="false">IF(U11=0,0,U17/U11)</f>
        <v>0.887247630786108</v>
      </c>
      <c r="V28" s="18" t="n">
        <f aca="false">IF(V11=0,0,V17/V11)</f>
        <v>0.89196820177251</v>
      </c>
      <c r="W28" s="18" t="n">
        <f aca="false">IF(W11=0,0,W17/W11)</f>
        <v>0.896777025262088</v>
      </c>
      <c r="X28" s="18" t="n">
        <f aca="false">IF(X11=0,0,X17/X11)</f>
        <v>0.90164607174535</v>
      </c>
      <c r="Y28" s="18" t="n">
        <f aca="false">IF(Y11=0,0,Y17/Y11)</f>
        <v>0.906604880356022</v>
      </c>
      <c r="Z28" s="18" t="n">
        <f aca="false">IF(Z11=0,0,Z17/Z11)</f>
        <v>0.911668527367008</v>
      </c>
      <c r="AA28" s="18" t="n">
        <f aca="false">IF(AA11=0,0,AA17/AA11)</f>
        <v>0.916821501184388</v>
      </c>
      <c r="AB28" s="18" t="n">
        <f aca="false">IF(AB11=0,0,AB17/AB11)</f>
        <v>0.922056801268791</v>
      </c>
      <c r="AC28" s="18" t="n">
        <f aca="false">IF(AC11=0,0,AC17/AC11)</f>
        <v>0.927398774350057</v>
      </c>
      <c r="AD28" s="18" t="n">
        <f aca="false">IF(AD11=0,0,AD17/AD11)</f>
        <v>0.932837874214618</v>
      </c>
      <c r="AE28" s="18" t="n">
        <f aca="false">IF(AE11=0,0,AE17/AE11)</f>
        <v>0.938382853402964</v>
      </c>
      <c r="AF28" s="18" t="n">
        <f aca="false">IF(AF11=0,0,AF17/AF11)</f>
        <v>0.944026391198078</v>
      </c>
      <c r="AG28" s="18" t="n">
        <f aca="false">IF(AG11=0,0,AG17/AG11)</f>
        <v>2.37442655150366</v>
      </c>
      <c r="AH28" s="18" t="n">
        <f aca="false">IF(AH11=0,0,AH17/AH11)</f>
        <v>2.38903746237524</v>
      </c>
      <c r="AI28" s="18" t="n">
        <f aca="false">IF(AI11=0,0,AI17/AI11)</f>
        <v>2.40390510981607</v>
      </c>
      <c r="AJ28" s="18" t="n">
        <f aca="false">IF(AJ11=0,0,AJ17/AJ11)</f>
        <v>2.41905269180202</v>
      </c>
      <c r="AK28" s="18" t="n">
        <f aca="false">IF(AK11=0,0,AK17/AK11)</f>
        <v>2.43447336383459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62</v>
      </c>
    </row>
    <row r="3" customFormat="false" ht="15" hidden="false" customHeight="false" outlineLevel="0" collapsed="false">
      <c r="A3" s="2" t="s">
        <v>63</v>
      </c>
      <c r="B3" s="19" t="n">
        <f aca="false">Model!AK17*12</f>
        <v>1658551.34869895</v>
      </c>
    </row>
    <row r="4" customFormat="false" ht="15" hidden="false" customHeight="false" outlineLevel="0" collapsed="false">
      <c r="A4" s="2" t="s">
        <v>64</v>
      </c>
      <c r="B4" s="12" t="n">
        <f aca="false">Model!AK5</f>
        <v>74039</v>
      </c>
    </row>
    <row r="5" customFormat="false" ht="15" hidden="false" customHeight="false" outlineLevel="0" collapsed="false">
      <c r="A5" s="2" t="s">
        <v>65</v>
      </c>
      <c r="B5" s="12" t="n">
        <f aca="false">Model!AK7</f>
        <v>740390</v>
      </c>
    </row>
    <row r="6" customFormat="false" ht="15" hidden="false" customHeight="false" outlineLevel="0" collapsed="false">
      <c r="A6" s="2" t="s">
        <v>66</v>
      </c>
      <c r="B6" s="19" t="n">
        <f aca="false">Model!AK26</f>
        <v>-2031496.41919599</v>
      </c>
    </row>
    <row r="7" customFormat="false" ht="15" hidden="false" customHeight="false" outlineLevel="0" collapsed="false">
      <c r="A7" s="2" t="s">
        <v>67</v>
      </c>
      <c r="B7" s="11" t="n">
        <f aca="false">Assumptions!B39</f>
        <v>0.55</v>
      </c>
    </row>
    <row r="9" customFormat="false" ht="15" hidden="false" customHeight="false" outlineLevel="0" collapsed="false">
      <c r="A9" s="16" t="s">
        <v>68</v>
      </c>
    </row>
    <row r="10" customFormat="false" ht="15" hidden="false" customHeight="false" outlineLevel="0" collapsed="false">
      <c r="A10" s="16" t="s">
        <v>69</v>
      </c>
      <c r="B10" s="16" t="s">
        <v>70</v>
      </c>
      <c r="C10" s="16" t="s">
        <v>71</v>
      </c>
      <c r="D10" s="16" t="s">
        <v>72</v>
      </c>
    </row>
    <row r="11" customFormat="false" ht="15" hidden="false" customHeight="false" outlineLevel="0" collapsed="false">
      <c r="A11" s="20" t="n">
        <v>3</v>
      </c>
      <c r="B11" s="15" t="n">
        <f aca="false">$B$3*1*$A11*$B$7</f>
        <v>2736609.72535327</v>
      </c>
      <c r="C11" s="15" t="n">
        <f aca="false">$B$3*2*$A11*$B$7</f>
        <v>5473219.45070654</v>
      </c>
      <c r="D11" s="15" t="n">
        <f aca="false">$B$3*4*$A11*$B$7</f>
        <v>10946438.9014131</v>
      </c>
    </row>
    <row r="12" customFormat="false" ht="15" hidden="false" customHeight="false" outlineLevel="0" collapsed="false">
      <c r="A12" s="20" t="n">
        <v>5</v>
      </c>
      <c r="B12" s="15" t="n">
        <f aca="false">$B$3*1*$A12*$B$7</f>
        <v>4561016.20892212</v>
      </c>
      <c r="C12" s="15" t="n">
        <f aca="false">$B$3*2*$A12*$B$7</f>
        <v>9122032.41784423</v>
      </c>
      <c r="D12" s="15" t="n">
        <f aca="false">$B$3*4*$A12*$B$7</f>
        <v>18244064.8356885</v>
      </c>
    </row>
    <row r="13" customFormat="false" ht="15" hidden="false" customHeight="false" outlineLevel="0" collapsed="false">
      <c r="A13" s="20" t="n">
        <v>8</v>
      </c>
      <c r="B13" s="15" t="n">
        <f aca="false">$B$3*1*$A13*$B$7</f>
        <v>7297625.93427539</v>
      </c>
      <c r="C13" s="15" t="n">
        <f aca="false">$B$3*2*$A13*$B$7</f>
        <v>14595251.8685508</v>
      </c>
      <c r="D13" s="15" t="n">
        <f aca="false">$B$3*4*$A13*$B$7</f>
        <v>29190503.7371016</v>
      </c>
    </row>
    <row r="14" customFormat="false" ht="15" hidden="false" customHeight="false" outlineLevel="0" collapsed="false">
      <c r="A14" s="20" t="n">
        <v>12</v>
      </c>
      <c r="B14" s="15" t="n">
        <f aca="false">$B$3*1*$A14*$B$7</f>
        <v>10946438.9014131</v>
      </c>
      <c r="C14" s="15" t="n">
        <f aca="false">$B$3*2*$A14*$B$7</f>
        <v>21892877.8028262</v>
      </c>
      <c r="D14" s="15" t="n">
        <f aca="false">$B$3*4*$A14*$B$7</f>
        <v>43785755.6056523</v>
      </c>
    </row>
    <row r="16" customFormat="false" ht="15" hidden="false" customHeight="false" outlineLevel="0" collapsed="false">
      <c r="A16" s="21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2026-06-11T17:23:22Z</dcterms:created>
  <dc:creator>openpyxl</dc:creator>
  <dc:description/>
  <dc:language>en-US</dc:language>
  <cp:lastModifiedBy/>
  <dcterms:modified xsi:type="dcterms:W3CDTF">2026-06-11T17:23:22Z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